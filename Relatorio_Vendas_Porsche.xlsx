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lio\Downloads\"/>
    </mc:Choice>
  </mc:AlternateContent>
  <xr:revisionPtr revIDLastSave="0" documentId="8_{554BD7BD-48C7-40DC-9A6F-B354C07802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Dados Limpos" sheetId="2" r:id="rId2"/>
    <sheet name="Vendedores" sheetId="3" r:id="rId3"/>
    <sheet name="Qualidade dos Dad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5" i="3" l="1"/>
  <c r="E75" i="3" s="1"/>
  <c r="C75" i="3"/>
  <c r="D74" i="3"/>
  <c r="E74" i="3" s="1"/>
  <c r="C74" i="3"/>
  <c r="D73" i="3"/>
  <c r="E73" i="3" s="1"/>
  <c r="C73" i="3"/>
  <c r="D72" i="3"/>
  <c r="E72" i="3" s="1"/>
  <c r="C72" i="3"/>
  <c r="D71" i="3"/>
  <c r="E71" i="3" s="1"/>
  <c r="C71" i="3"/>
  <c r="E70" i="3"/>
  <c r="D70" i="3"/>
  <c r="C70" i="3"/>
  <c r="D69" i="3"/>
  <c r="C69" i="3"/>
  <c r="E69" i="3" s="1"/>
  <c r="D68" i="3"/>
  <c r="E68" i="3" s="1"/>
  <c r="C68" i="3"/>
  <c r="D67" i="3"/>
  <c r="C67" i="3"/>
  <c r="E67" i="3" s="1"/>
  <c r="D66" i="3"/>
  <c r="E66" i="3" s="1"/>
  <c r="C66" i="3"/>
  <c r="D65" i="3"/>
  <c r="E65" i="3" s="1"/>
  <c r="C65" i="3"/>
  <c r="D64" i="3"/>
  <c r="E64" i="3" s="1"/>
  <c r="C64" i="3"/>
  <c r="D63" i="3"/>
  <c r="E63" i="3" s="1"/>
  <c r="C63" i="3"/>
  <c r="D62" i="3"/>
  <c r="E62" i="3" s="1"/>
  <c r="C62" i="3"/>
  <c r="E61" i="3"/>
  <c r="D61" i="3"/>
  <c r="C61" i="3"/>
  <c r="D60" i="3"/>
  <c r="E60" i="3" s="1"/>
  <c r="C60" i="3"/>
  <c r="D59" i="3"/>
  <c r="E59" i="3" s="1"/>
  <c r="C59" i="3"/>
  <c r="D58" i="3"/>
  <c r="E58" i="3" s="1"/>
  <c r="C58" i="3"/>
  <c r="E57" i="3"/>
  <c r="D57" i="3"/>
  <c r="C57" i="3"/>
  <c r="D56" i="3"/>
  <c r="E56" i="3" s="1"/>
  <c r="C56" i="3"/>
  <c r="D55" i="3"/>
  <c r="E55" i="3" s="1"/>
  <c r="C55" i="3"/>
  <c r="E54" i="3"/>
  <c r="D54" i="3"/>
  <c r="C54" i="3"/>
  <c r="D53" i="3"/>
  <c r="C53" i="3"/>
  <c r="E53" i="3" s="1"/>
  <c r="D52" i="3"/>
  <c r="E52" i="3" s="1"/>
  <c r="C52" i="3"/>
  <c r="D51" i="3"/>
  <c r="C51" i="3"/>
  <c r="E51" i="3" s="1"/>
  <c r="D50" i="3"/>
  <c r="E50" i="3" s="1"/>
  <c r="C50" i="3"/>
  <c r="D49" i="3"/>
  <c r="E49" i="3" s="1"/>
  <c r="C49" i="3"/>
  <c r="E48" i="3"/>
  <c r="D48" i="3"/>
  <c r="C48" i="3"/>
  <c r="D47" i="3"/>
  <c r="E47" i="3" s="1"/>
  <c r="C47" i="3"/>
  <c r="D46" i="3"/>
  <c r="E46" i="3" s="1"/>
  <c r="C46" i="3"/>
  <c r="E45" i="3"/>
  <c r="D45" i="3"/>
  <c r="C45" i="3"/>
  <c r="D44" i="3"/>
  <c r="E44" i="3" s="1"/>
  <c r="C44" i="3"/>
  <c r="D43" i="3"/>
  <c r="E43" i="3" s="1"/>
  <c r="C43" i="3"/>
  <c r="D42" i="3"/>
  <c r="E42" i="3" s="1"/>
  <c r="C42" i="3"/>
  <c r="E41" i="3"/>
  <c r="D41" i="3"/>
  <c r="C41" i="3"/>
  <c r="D40" i="3"/>
  <c r="E40" i="3" s="1"/>
  <c r="C40" i="3"/>
  <c r="D39" i="3"/>
  <c r="E39" i="3" s="1"/>
  <c r="C39" i="3"/>
  <c r="E38" i="3"/>
  <c r="D38" i="3"/>
  <c r="C38" i="3"/>
  <c r="D37" i="3"/>
  <c r="E37" i="3" s="1"/>
  <c r="C37" i="3"/>
  <c r="D36" i="3"/>
  <c r="E36" i="3" s="1"/>
  <c r="C36" i="3"/>
  <c r="D35" i="3"/>
  <c r="C35" i="3"/>
  <c r="E35" i="3" s="1"/>
  <c r="D34" i="3"/>
  <c r="E34" i="3" s="1"/>
  <c r="C34" i="3"/>
  <c r="D33" i="3"/>
  <c r="E33" i="3" s="1"/>
  <c r="C33" i="3"/>
  <c r="E32" i="3"/>
  <c r="D32" i="3"/>
  <c r="C32" i="3"/>
  <c r="D31" i="3"/>
  <c r="E31" i="3" s="1"/>
  <c r="C31" i="3"/>
  <c r="D30" i="3"/>
  <c r="E30" i="3" s="1"/>
  <c r="C30" i="3"/>
  <c r="E29" i="3"/>
  <c r="D29" i="3"/>
  <c r="C29" i="3"/>
  <c r="D28" i="3"/>
  <c r="E28" i="3" s="1"/>
  <c r="C28" i="3"/>
  <c r="D27" i="3"/>
  <c r="E27" i="3" s="1"/>
  <c r="C27" i="3"/>
  <c r="D26" i="3"/>
  <c r="E26" i="3" s="1"/>
  <c r="C26" i="3"/>
  <c r="E25" i="3"/>
  <c r="D25" i="3"/>
  <c r="C25" i="3"/>
  <c r="D24" i="3"/>
  <c r="E24" i="3" s="1"/>
  <c r="C24" i="3"/>
  <c r="D23" i="3"/>
  <c r="E23" i="3" s="1"/>
  <c r="C23" i="3"/>
  <c r="E22" i="3"/>
  <c r="D22" i="3"/>
  <c r="C22" i="3"/>
  <c r="D21" i="3"/>
  <c r="E21" i="3" s="1"/>
  <c r="C21" i="3"/>
  <c r="D20" i="3"/>
  <c r="E20" i="3" s="1"/>
  <c r="C20" i="3"/>
  <c r="D19" i="3"/>
  <c r="C19" i="3"/>
  <c r="E19" i="3" s="1"/>
  <c r="D18" i="3"/>
  <c r="E18" i="3" s="1"/>
  <c r="C18" i="3"/>
  <c r="D17" i="3"/>
  <c r="E17" i="3" s="1"/>
  <c r="C17" i="3"/>
  <c r="E16" i="3"/>
  <c r="D16" i="3"/>
  <c r="C16" i="3"/>
  <c r="D15" i="3"/>
  <c r="E15" i="3" s="1"/>
  <c r="C15" i="3"/>
  <c r="D14" i="3"/>
  <c r="E14" i="3" s="1"/>
  <c r="C14" i="3"/>
  <c r="E13" i="3"/>
  <c r="D13" i="3"/>
  <c r="C13" i="3"/>
  <c r="D12" i="3"/>
  <c r="E12" i="3" s="1"/>
  <c r="C12" i="3"/>
  <c r="D11" i="3"/>
  <c r="E11" i="3" s="1"/>
  <c r="C11" i="3"/>
  <c r="D10" i="3"/>
  <c r="E10" i="3" s="1"/>
  <c r="C10" i="3"/>
  <c r="E9" i="3"/>
  <c r="D9" i="3"/>
  <c r="C9" i="3"/>
  <c r="D8" i="3"/>
  <c r="E8" i="3" s="1"/>
  <c r="C8" i="3"/>
  <c r="D7" i="3"/>
  <c r="E7" i="3" s="1"/>
  <c r="C7" i="3"/>
  <c r="E6" i="3"/>
  <c r="D6" i="3"/>
  <c r="C6" i="3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F32" i="1"/>
  <c r="C32" i="1"/>
  <c r="F31" i="1"/>
  <c r="C31" i="1"/>
  <c r="F30" i="1"/>
  <c r="C30" i="1"/>
  <c r="F29" i="1"/>
  <c r="C29" i="1"/>
  <c r="F28" i="1"/>
  <c r="C28" i="1"/>
  <c r="F27" i="1"/>
  <c r="C27" i="1"/>
  <c r="F26" i="1"/>
  <c r="C26" i="1"/>
  <c r="F25" i="1"/>
  <c r="C25" i="1"/>
  <c r="F24" i="1"/>
  <c r="C24" i="1"/>
  <c r="F23" i="1"/>
  <c r="C23" i="1"/>
  <c r="C22" i="1"/>
  <c r="C21" i="1"/>
  <c r="C20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F12" i="1"/>
  <c r="C12" i="1"/>
  <c r="F11" i="1"/>
  <c r="C11" i="1"/>
  <c r="H6" i="1"/>
  <c r="F6" i="1"/>
  <c r="D6" i="1"/>
  <c r="B6" i="1"/>
</calcChain>
</file>

<file path=xl/sharedStrings.xml><?xml version="1.0" encoding="utf-8"?>
<sst xmlns="http://schemas.openxmlformats.org/spreadsheetml/2006/main" count="1337" uniqueCount="495">
  <si>
    <t>Dashboard de Vendas — Porsche</t>
  </si>
  <si>
    <t>100 vendas registradas · Relatório gerado automaticamente</t>
  </si>
  <si>
    <t>Receita Total (USD)</t>
  </si>
  <si>
    <t>Ticket Médio (USD)</t>
  </si>
  <si>
    <t>Total de Vendas</t>
  </si>
  <si>
    <t>Vendas Entregues</t>
  </si>
  <si>
    <t>Receita por Modelo</t>
  </si>
  <si>
    <t>Vendas por Forma de Pagamento</t>
  </si>
  <si>
    <t>Modelo</t>
  </si>
  <si>
    <t>Receita (USD)</t>
  </si>
  <si>
    <t>Forma</t>
  </si>
  <si>
    <t>Qtde</t>
  </si>
  <si>
    <t>911 Dakar</t>
  </si>
  <si>
    <t>Wire Transfer</t>
  </si>
  <si>
    <t>911 Turbo S</t>
  </si>
  <si>
    <t>Credit Card</t>
  </si>
  <si>
    <t>911 GT3</t>
  </si>
  <si>
    <t>Financing</t>
  </si>
  <si>
    <t>Cayenne Turbo GT</t>
  </si>
  <si>
    <t>Cash</t>
  </si>
  <si>
    <t>Taycan 4S</t>
  </si>
  <si>
    <t>Bank Transfer</t>
  </si>
  <si>
    <t>Taycan Turbo</t>
  </si>
  <si>
    <t>Lease</t>
  </si>
  <si>
    <t>Cayenne Coupe</t>
  </si>
  <si>
    <t>Crypto Payment</t>
  </si>
  <si>
    <t>Taycan Turbo S</t>
  </si>
  <si>
    <t>Debit Card</t>
  </si>
  <si>
    <t>Taycan GTS</t>
  </si>
  <si>
    <t>ACH Payment</t>
  </si>
  <si>
    <t>Cayenne E-Hybrid</t>
  </si>
  <si>
    <t>Macan Electric</t>
  </si>
  <si>
    <t>Vendas por Status de Entrega</t>
  </si>
  <si>
    <t>718 Cayman GT4 RS</t>
  </si>
  <si>
    <t>Status</t>
  </si>
  <si>
    <t>718 Spyder RS</t>
  </si>
  <si>
    <t>Delivered</t>
  </si>
  <si>
    <t>911 Targa 4S</t>
  </si>
  <si>
    <t>Pending</t>
  </si>
  <si>
    <t>Panamera</t>
  </si>
  <si>
    <t>In Transit</t>
  </si>
  <si>
    <t>Macan T</t>
  </si>
  <si>
    <t>Cancelled</t>
  </si>
  <si>
    <t>Cayenne S</t>
  </si>
  <si>
    <t>Awaiting Delivery</t>
  </si>
  <si>
    <t>911 GT3 RS</t>
  </si>
  <si>
    <t>Pending Approval</t>
  </si>
  <si>
    <t>Macan GTS</t>
  </si>
  <si>
    <t>Shipped</t>
  </si>
  <si>
    <t>911 Targa 4</t>
  </si>
  <si>
    <t>Awaiting Pickup</t>
  </si>
  <si>
    <t>Panamera Turbo</t>
  </si>
  <si>
    <t>Pending Review</t>
  </si>
  <si>
    <t>Panamera Turbo S</t>
  </si>
  <si>
    <t>Awaiting Review</t>
  </si>
  <si>
    <t>911 Carrera Cabriolet</t>
  </si>
  <si>
    <t>911 Carrera</t>
  </si>
  <si>
    <t>Taycan Cross Turismo</t>
  </si>
  <si>
    <t>911 Carrera GTS</t>
  </si>
  <si>
    <t>Cayenne</t>
  </si>
  <si>
    <t>Taycan</t>
  </si>
  <si>
    <t>Panamera 4S</t>
  </si>
  <si>
    <t>718 Cayman</t>
  </si>
  <si>
    <t>718 Boxster</t>
  </si>
  <si>
    <t>Panamera 4 E-Hybrid</t>
  </si>
  <si>
    <t>Panamera 4</t>
  </si>
  <si>
    <t>Macan S</t>
  </si>
  <si>
    <t>911 Carrera S</t>
  </si>
  <si>
    <t>911 Turbo</t>
  </si>
  <si>
    <t>Macan</t>
  </si>
  <si>
    <t>Cayenne Turbo</t>
  </si>
  <si>
    <t>718 Boxster GTS</t>
  </si>
  <si>
    <t>718 Cayman S</t>
  </si>
  <si>
    <t>Receita por Estado</t>
  </si>
  <si>
    <t>Estado</t>
  </si>
  <si>
    <t>TX</t>
  </si>
  <si>
    <t>CA</t>
  </si>
  <si>
    <t>AZ</t>
  </si>
  <si>
    <t>NV</t>
  </si>
  <si>
    <t>FL</t>
  </si>
  <si>
    <t>OH</t>
  </si>
  <si>
    <t>NC</t>
  </si>
  <si>
    <t>GA</t>
  </si>
  <si>
    <t>LA</t>
  </si>
  <si>
    <t>VA</t>
  </si>
  <si>
    <t>KS</t>
  </si>
  <si>
    <t>CO</t>
  </si>
  <si>
    <t>MA</t>
  </si>
  <si>
    <t>WA</t>
  </si>
  <si>
    <t>NE</t>
  </si>
  <si>
    <t>UT</t>
  </si>
  <si>
    <t>NY</t>
  </si>
  <si>
    <t>ID</t>
  </si>
  <si>
    <t>WI</t>
  </si>
  <si>
    <t>OK</t>
  </si>
  <si>
    <t>NJ</t>
  </si>
  <si>
    <t>PA</t>
  </si>
  <si>
    <t>NM</t>
  </si>
  <si>
    <t>MO</t>
  </si>
  <si>
    <t>KY</t>
  </si>
  <si>
    <t>IL</t>
  </si>
  <si>
    <t>OR</t>
  </si>
  <si>
    <t>MN</t>
  </si>
  <si>
    <t>AK</t>
  </si>
  <si>
    <t>IN</t>
  </si>
  <si>
    <t>HI</t>
  </si>
  <si>
    <t>TN</t>
  </si>
  <si>
    <t>MI</t>
  </si>
  <si>
    <t>ID Venda</t>
  </si>
  <si>
    <t>Data Venda</t>
  </si>
  <si>
    <t>Cliente</t>
  </si>
  <si>
    <t>Modelo Porsche</t>
  </si>
  <si>
    <t>Ano Modelo</t>
  </si>
  <si>
    <t>Preço Venda (USD)</t>
  </si>
  <si>
    <t>Quilometragem (mi)</t>
  </si>
  <si>
    <t>Forma Pagamento</t>
  </si>
  <si>
    <t>Cidade</t>
  </si>
  <si>
    <t>Vendedor</t>
  </si>
  <si>
    <t>Status Entrega</t>
  </si>
  <si>
    <t>Data Inválida?</t>
  </si>
  <si>
    <t>Nome Incompleto?</t>
  </si>
  <si>
    <t>INVALID</t>
  </si>
  <si>
    <t>Michael Adams</t>
  </si>
  <si>
    <t>Boston</t>
  </si>
  <si>
    <t>Kevin</t>
  </si>
  <si>
    <t>Sim</t>
  </si>
  <si>
    <t>2024-03-14</t>
  </si>
  <si>
    <t>Sophia Miller</t>
  </si>
  <si>
    <t>Seattle</t>
  </si>
  <si>
    <t>Amanda Scott</t>
  </si>
  <si>
    <t>Não</t>
  </si>
  <si>
    <t>2024-04-18</t>
  </si>
  <si>
    <t>Daniel Jones</t>
  </si>
  <si>
    <t>Austin</t>
  </si>
  <si>
    <t>Brian Hall</t>
  </si>
  <si>
    <t>Olivia Brown</t>
  </si>
  <si>
    <t>Denver</t>
  </si>
  <si>
    <t>Jessica</t>
  </si>
  <si>
    <t>2024-05-22</t>
  </si>
  <si>
    <t>Ethan Wilson</t>
  </si>
  <si>
    <t>Los Angeles</t>
  </si>
  <si>
    <t>Thomas King</t>
  </si>
  <si>
    <t>2024-08-06</t>
  </si>
  <si>
    <t>Ava Martinez</t>
  </si>
  <si>
    <t>Miami</t>
  </si>
  <si>
    <t>Lisa Ray</t>
  </si>
  <si>
    <t>2024-07-11</t>
  </si>
  <si>
    <t>Noah Davis</t>
  </si>
  <si>
    <t>New York</t>
  </si>
  <si>
    <t>Mark Evans</t>
  </si>
  <si>
    <t>Isabella Garcia</t>
  </si>
  <si>
    <t>San Diego</t>
  </si>
  <si>
    <t>Nancy Reed</t>
  </si>
  <si>
    <t>2024-08-19</t>
  </si>
  <si>
    <t>Liam Rodriguez</t>
  </si>
  <si>
    <t>Chicago</t>
  </si>
  <si>
    <t>George Bell</t>
  </si>
  <si>
    <t>2024-09-02</t>
  </si>
  <si>
    <t>Mia Hernandez</t>
  </si>
  <si>
    <t>Phoenix</t>
  </si>
  <si>
    <t>Helen Brooks</t>
  </si>
  <si>
    <t>2024-09-17</t>
  </si>
  <si>
    <t>James Lopez</t>
  </si>
  <si>
    <t>Dallas</t>
  </si>
  <si>
    <t>Samuel Price</t>
  </si>
  <si>
    <t>Charlotte Young</t>
  </si>
  <si>
    <t>Las Vegas</t>
  </si>
  <si>
    <t>Peter Ford</t>
  </si>
  <si>
    <t>2024-05-11</t>
  </si>
  <si>
    <t>Benjamin Allen</t>
  </si>
  <si>
    <t>San Jose</t>
  </si>
  <si>
    <t>Angela Green</t>
  </si>
  <si>
    <t>2024-12-12</t>
  </si>
  <si>
    <t>Amelia King</t>
  </si>
  <si>
    <t>Houston</t>
  </si>
  <si>
    <t>Victor Stone</t>
  </si>
  <si>
    <t>2024-12-25</t>
  </si>
  <si>
    <t>Lucas Wright</t>
  </si>
  <si>
    <t>Atlanta</t>
  </si>
  <si>
    <t>Rachel Turner</t>
  </si>
  <si>
    <t>2025-01-06</t>
  </si>
  <si>
    <t>Harper Scott</t>
  </si>
  <si>
    <t>Orlando</t>
  </si>
  <si>
    <t>Chris Moore</t>
  </si>
  <si>
    <t>Henry Torres</t>
  </si>
  <si>
    <t>Portland</t>
  </si>
  <si>
    <t>Laura Hill</t>
  </si>
  <si>
    <t>2025-02-14</t>
  </si>
  <si>
    <t>Evelyn Nguyen</t>
  </si>
  <si>
    <t>Charlotte</t>
  </si>
  <si>
    <t>Martin Young</t>
  </si>
  <si>
    <t>Alexander Flores</t>
  </si>
  <si>
    <t>Nashville</t>
  </si>
  <si>
    <t>Diana Cooper</t>
  </si>
  <si>
    <t>2025-03-21</t>
  </si>
  <si>
    <t>Abigail Carter</t>
  </si>
  <si>
    <t>Minneapolis</t>
  </si>
  <si>
    <t>Steve Gray</t>
  </si>
  <si>
    <t>2025-03-28</t>
  </si>
  <si>
    <t>Jack Mitchell</t>
  </si>
  <si>
    <t>Philadelphia</t>
  </si>
  <si>
    <t>Olivia Ross</t>
  </si>
  <si>
    <t>2025-04-09</t>
  </si>
  <si>
    <t>Emily Perez</t>
  </si>
  <si>
    <t>San Antonio</t>
  </si>
  <si>
    <t>Patrick Wood</t>
  </si>
  <si>
    <t>William Roberts</t>
  </si>
  <si>
    <t>Salt Lake City</t>
  </si>
  <si>
    <t>Karen Diaz</t>
  </si>
  <si>
    <t>2025-05-12</t>
  </si>
  <si>
    <t>Sofia Turner</t>
  </si>
  <si>
    <t>Raleigh</t>
  </si>
  <si>
    <t>Justin Cox</t>
  </si>
  <si>
    <t>2025-06-18</t>
  </si>
  <si>
    <t>Mason Phillips</t>
  </si>
  <si>
    <t>Detroit</t>
  </si>
  <si>
    <t>Betty Ward</t>
  </si>
  <si>
    <t>Ella Campbell</t>
  </si>
  <si>
    <t>Columbus</t>
  </si>
  <si>
    <t>Gary Reed</t>
  </si>
  <si>
    <t>2025-07-07</t>
  </si>
  <si>
    <t>Logan Parker</t>
  </si>
  <si>
    <t>Indianapolis</t>
  </si>
  <si>
    <t>Maria Foster</t>
  </si>
  <si>
    <t>2025-07-22</t>
  </si>
  <si>
    <t>Grace Evans</t>
  </si>
  <si>
    <t>Fort Worth</t>
  </si>
  <si>
    <t>Harold Bennett</t>
  </si>
  <si>
    <t>2025-08-14</t>
  </si>
  <si>
    <t>Jacob Edwards</t>
  </si>
  <si>
    <t>Jacksonville</t>
  </si>
  <si>
    <t>Teresa Cook</t>
  </si>
  <si>
    <t>2025-09-01</t>
  </si>
  <si>
    <t>Victoria Collins</t>
  </si>
  <si>
    <t>Frank Morgan</t>
  </si>
  <si>
    <t>Andrew Simmons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</si>
  <si>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</si>
  <si>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</si>
  <si>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</si>
  <si>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</si>
  <si>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</si>
  <si>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</si>
  <si>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</si>
  <si>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 Cooper</t>
  </si>
  <si>
    <t>Cleveland</t>
  </si>
  <si>
    <t>Patricia Fox</t>
  </si>
  <si>
    <t>2025-10-12</t>
  </si>
  <si>
    <t>Hannah Reed</t>
  </si>
  <si>
    <t>Milwaukee</t>
  </si>
  <si>
    <t>Alan Price</t>
  </si>
  <si>
    <t>2025-10-29</t>
  </si>
  <si>
    <t>Dylan Parker</t>
  </si>
  <si>
    <t>Kansas City</t>
  </si>
  <si>
    <t>Sandra Hill</t>
  </si>
  <si>
    <t>2025-02-11</t>
  </si>
  <si>
    <t>Lily Coleman</t>
  </si>
  <si>
    <t>Omaha</t>
  </si>
  <si>
    <t>Victor Lee</t>
  </si>
  <si>
    <t>2025-11-16</t>
  </si>
  <si>
    <t>Nathan Hughes</t>
  </si>
  <si>
    <t>Albuquerque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</si>
  <si>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</si>
  <si>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</si>
  <si>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</si>
  <si>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</si>
  <si>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</si>
  <si>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</si>
  <si>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</si>
  <si>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</si>
  <si>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</si>
  <si>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</si>
  <si>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Henry King</t>
  </si>
  <si>
    <t>2025-12-22</t>
  </si>
  <si>
    <t>Owen Bryant</t>
  </si>
  <si>
    <t>Colorado Springs</t>
  </si>
  <si>
    <t>Amber Clark</t>
  </si>
  <si>
    <t>Nora Simmons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</si>
  <si>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</si>
  <si>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</si>
  <si>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</si>
  <si>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</si>
  <si>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</si>
  <si>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</si>
  <si>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</si>
  <si>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</si>
  <si>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</si>
  <si>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</si>
  <si>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</si>
  <si>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</si>
  <si>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</si>
  <si>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</si>
  <si>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</si>
  <si>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</si>
  <si>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</si>
  <si>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</si>
  <si>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Oakland</t>
  </si>
  <si>
    <t>Linda Cole</t>
  </si>
  <si>
    <t>2026-02-19</t>
  </si>
  <si>
    <t>Scarlett Diaz</t>
  </si>
  <si>
    <t>Tulsa</t>
  </si>
  <si>
    <t>Martin Brooks</t>
  </si>
  <si>
    <t>2026-02-25</t>
  </si>
  <si>
    <t>Eli Jenkins</t>
  </si>
  <si>
    <t>Wichita</t>
  </si>
  <si>
    <t>Diana Long</t>
  </si>
  <si>
    <t>2026-03-01</t>
  </si>
  <si>
    <t>Madison Powell</t>
  </si>
  <si>
    <t>New Orleans</t>
  </si>
  <si>
    <t>Steve Ross</t>
  </si>
  <si>
    <t>2026-03-14</t>
  </si>
  <si>
    <t>Adrian Sanders</t>
  </si>
  <si>
    <t>Honolulu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</si>
  <si>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</si>
  <si>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</si>
  <si>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</si>
  <si>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</si>
  <si>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</si>
  <si>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</si>
  <si>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</si>
  <si>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Layla Marshall</t>
  </si>
  <si>
    <t>Lexington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</si>
  <si>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</si>
  <si>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</si>
  <si>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</si>
  <si>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</si>
  <si>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</si>
  <si>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</si>
  <si>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</si>
  <si>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</si>
  <si>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</si>
  <si>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</si>
  <si>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</si>
  <si>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</si>
  <si>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</si>
  <si>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</si>
  <si>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</si>
  <si>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</si>
  <si>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</si>
  <si>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</si>
  <si>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</si>
  <si>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</si>
  <si>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</si>
  <si>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</si>
  <si>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</si>
  <si>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</si>
  <si>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</si>
  <si>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</si>
  <si>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</si>
  <si>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</si>
  <si>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</si>
  <si>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</si>
  <si>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</si>
  <si>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</si>
  <si>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</si>
  <si>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</si>
  <si>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</si>
  <si>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</si>
  <si>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</si>
  <si>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</si>
  <si>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</si>
  <si>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</si>
  <si>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</si>
  <si>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</si>
  <si>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</si>
  <si>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</si>
  <si>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</si>
  <si>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</si>
  <si>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</si>
  <si>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</si>
  <si>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</si>
  <si>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</si>
  <si>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</si>
  <si>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</si>
  <si>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</si>
  <si>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</si>
  <si>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</si>
  <si>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</si>
  <si>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</si>
  <si>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</si>
  <si>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</si>
  <si>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</si>
  <si>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</si>
  <si>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</si>
  <si>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</si>
  <si>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</si>
  <si>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</si>
  <si>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2026-10-16</t>
  </si>
  <si>
    <t>Wesley Morgan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</si>
  <si>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</si>
  <si>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</si>
  <si>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</si>
  <si>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</si>
  <si>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</si>
  <si>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</si>
  <si>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</si>
  <si>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</si>
  <si>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</si>
  <si>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</si>
  <si>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</si>
  <si>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</si>
  <si>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</si>
  <si>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</si>
  <si>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</si>
  <si>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</si>
  <si>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</si>
  <si>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</si>
  <si>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</si>
  <si>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</si>
  <si>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</si>
  <si>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</si>
  <si>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</si>
  <si>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</si>
  <si>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</si>
  <si>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</si>
  <si>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</si>
  <si>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 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</si>
  <si>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</si>
  <si>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</si>
  <si>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</si>
  <si>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</si>
  <si>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</si>
  <si>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</si>
  <si>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</si>
  <si>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</si>
  <si>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</si>
  <si>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</si>
  <si>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</si>
  <si>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</si>
  <si>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</si>
  <si>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</si>
  <si>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</si>
  <si>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</si>
  <si>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</si>
  <si>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</si>
  <si>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</si>
  <si>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</si>
  <si>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</si>
  <si>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</si>
  <si>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</si>
  <si>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</si>
  <si>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</si>
  <si>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</si>
  <si>
    <t>Ranking de Vendedores</t>
  </si>
  <si>
    <t>Ordenado por receita total gerada</t>
  </si>
  <si>
    <t>#</t>
  </si>
  <si>
    <t>Nº de Vendas</t>
  </si>
  <si>
    <t>Relatório de Qualidade dos Dados</t>
  </si>
  <si>
    <t>Registros que precisam de revisão manual</t>
  </si>
  <si>
    <t>Resumo</t>
  </si>
  <si>
    <t>Total de registros</t>
  </si>
  <si>
    <t>Datas de venda inválidas (dia/mês inexistente)</t>
  </si>
  <si>
    <t>Nomes de cliente/vendedor incompletos ou ambíguos</t>
  </si>
  <si>
    <t>Duplicatas exatas (mesmo ID)</t>
  </si>
  <si>
    <t>Outliers de preço por modelo (&gt;1.8 desvios-padrão)</t>
  </si>
  <si>
    <t>Datas Inválidas — Detalhe</t>
  </si>
  <si>
    <t>Data Original (bruta)</t>
  </si>
  <si>
    <t>Problema Provável</t>
  </si>
  <si>
    <t>2024-02-30</t>
  </si>
  <si>
    <t>Dia ou mês fora do intervalo válido (ex: dia 30/31/32/40 ou mês 15/18)</t>
  </si>
  <si>
    <t>April 31st, 2024</t>
  </si>
  <si>
    <t>2024/15/07</t>
  </si>
  <si>
    <t>2024-10-40</t>
  </si>
  <si>
    <t>01/32/2025</t>
  </si>
  <si>
    <t>February 29th, 2025</t>
  </si>
  <si>
    <t>2025/04/31</t>
  </si>
  <si>
    <t>06/31/2025</t>
  </si>
  <si>
    <t>2025-09-31</t>
  </si>
  <si>
    <t>2025/18/11</t>
  </si>
  <si>
    <t>November 31st, 2025</t>
  </si>
  <si>
    <t>2025-12-40</t>
  </si>
  <si>
    <t>February 30th, 2026</t>
  </si>
  <si>
    <t>03/32/2026</t>
  </si>
  <si>
    <t>April 31st, 2026</t>
  </si>
  <si>
    <t>2026-06-31</t>
  </si>
  <si>
    <t>2026-07-35</t>
  </si>
  <si>
    <t>11/31/2026</t>
  </si>
  <si>
    <t>2026-12-38</t>
  </si>
  <si>
    <t>February 30th, 2027</t>
  </si>
  <si>
    <t>2027/15/04</t>
  </si>
  <si>
    <t>April 31st, 2027</t>
  </si>
  <si>
    <t>2027-06-40</t>
  </si>
  <si>
    <t>August 32nd, 2027</t>
  </si>
  <si>
    <t>Nomes Incompletos/Ambíguos — Detalhe</t>
  </si>
  <si>
    <t>Cliente (bruto)</t>
  </si>
  <si>
    <t>Vendedor (bruto)</t>
  </si>
  <si>
    <t>Observação</t>
  </si>
  <si>
    <t>kevin</t>
  </si>
  <si>
    <t>Vendedor com apenas um nome — sobrenome ausente</t>
  </si>
  <si>
    <t>Daniel-Jones</t>
  </si>
  <si>
    <t>Nome do cliente com hífen — provável nome/sobrenome faltando</t>
  </si>
  <si>
    <t>jessica</t>
  </si>
  <si>
    <t>natalie</t>
  </si>
  <si>
    <t>Ryan-Cooper</t>
  </si>
  <si>
    <t>monica</t>
  </si>
  <si>
    <t>Tyler-Morris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</si>
</sst>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11" x14ac:knownFonts="1">
    <font>
      <sz val="11"/>
      <color theme="1"/>
      <name val="Calibri"/>
      <family val="2"/>
      <charset val="1"/>
    </font>
    <font>
      <b/>
      <sz val="16"/>
      <color rgb="FF1A1A2E"/>
      <name val="Arial"/>
      <charset val="1"/>
    </font>
    <font>
      <i/>
      <sz val="9"/>
      <color rgb="FF666666"/>
      <name val="Arial"/>
      <charset val="1"/>
    </font>
    <font>
      <sz val="9"/>
      <color rgb="FF666666"/>
      <name val="Arial"/>
      <charset val="1"/>
    </font>
    <font>
      <b/>
      <sz val="18"/>
      <color rgb="FF1A1A2E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color rgb="FF1A1A2E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7"/>
        <bgColor rgb="FFFFFFFF"/>
      </patternFill>
    </fill>
    <fill>
      <patternFill patternType="solid">
        <fgColor rgb="FF1A1A2E"/>
        <bgColor rgb="FF3333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4" fillId="2" borderId="0" xfId="0" applyNumberFormat="1" applyFont="1" applyFill="1"/>
    <xf numFmtId="164" fontId="4" fillId="2" borderId="0" xfId="0" applyNumberFormat="1" applyFont="1" applyFill="1"/>
    <xf numFmtId="0" fontId="3" fillId="2" borderId="0" xfId="0" applyFont="1" applyFill="1" applyAlignment="1">
      <alignment horizontal="left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3" borderId="0" xfId="0" applyFont="1" applyFill="1"/>
    <xf numFmtId="0" fontId="7" fillId="0" borderId="0" xfId="0" applyFont="1"/>
    <xf numFmtId="164" fontId="7" fillId="0" borderId="0" xfId="0" applyNumberFormat="1" applyFont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5" fontId="7" fillId="0" borderId="1" xfId="0" applyNumberFormat="1" applyFont="1" applyBorder="1"/>
    <xf numFmtId="3" fontId="7" fillId="0" borderId="1" xfId="0" applyNumberFormat="1" applyFont="1" applyBorder="1"/>
    <xf numFmtId="0" fontId="8" fillId="0" borderId="0" xfId="0" applyFont="1"/>
    <xf numFmtId="0" fontId="6" fillId="3" borderId="1" xfId="0" applyFont="1" applyFill="1" applyBorder="1" applyAlignment="1">
      <alignment horizontal="center"/>
    </xf>
    <xf numFmtId="164" fontId="7" fillId="0" borderId="1" xfId="0" applyNumberFormat="1" applyFont="1" applyBorder="1"/>
    <xf numFmtId="0" fontId="9" fillId="0" borderId="0" xfId="0" applyFont="1"/>
    <xf numFmtId="0" fontId="6" fillId="3" borderId="1" xfId="0" applyFont="1" applyFill="1" applyBorder="1"/>
    <xf numFmtId="0" fontId="10" fillId="0" borderId="1" xfId="0" applyFont="1" applyBorder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CCCCCC"/>
      <rgbColor rgb="FF878787"/>
      <rgbColor rgb="FF93A9CE"/>
      <rgbColor rgb="FFAB4744"/>
      <rgbColor rgb="FFF2F2F7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CD97"/>
      <rgbColor rgb="FFD09493"/>
      <rgbColor rgb="FFCC99FF"/>
      <rgbColor rgb="FFFFC7CE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Receita por Modelo (Top 12)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Receita (USD)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911 Dakar</c:v>
                </c:pt>
                <c:pt idx="1">
                  <c:v>911 Turbo S</c:v>
                </c:pt>
                <c:pt idx="2">
                  <c:v>911 GT3</c:v>
                </c:pt>
                <c:pt idx="3">
                  <c:v>Cayenne Turbo GT</c:v>
                </c:pt>
                <c:pt idx="4">
                  <c:v>Taycan 4S</c:v>
                </c:pt>
                <c:pt idx="5">
                  <c:v>Taycan Turbo</c:v>
                </c:pt>
                <c:pt idx="6">
                  <c:v>Cayenne Coupe</c:v>
                </c:pt>
                <c:pt idx="7">
                  <c:v>Taycan Turbo S</c:v>
                </c:pt>
                <c:pt idx="8">
                  <c:v>Taycan GTS</c:v>
                </c:pt>
                <c:pt idx="9">
                  <c:v>Cayenne E-Hybrid</c:v>
                </c:pt>
                <c:pt idx="10">
                  <c:v>Macan Electric</c:v>
                </c:pt>
                <c:pt idx="11">
                  <c:v>718 Cayman GT4 RS</c:v>
                </c:pt>
              </c:strCache>
            </c:strRef>
          </c:cat>
          <c:val>
            <c:numRef>
              <c:f>Dashboard!$C$11:$C$22</c:f>
              <c:numCache>
                <c:formatCode>\$#,##0</c:formatCode>
                <c:ptCount val="12"/>
                <c:pt idx="0">
                  <c:v>810600</c:v>
                </c:pt>
                <c:pt idx="1">
                  <c:v>726300</c:v>
                </c:pt>
                <c:pt idx="2">
                  <c:v>697500</c:v>
                </c:pt>
                <c:pt idx="3">
                  <c:v>592800</c:v>
                </c:pt>
                <c:pt idx="4">
                  <c:v>514300</c:v>
                </c:pt>
                <c:pt idx="5">
                  <c:v>475700.5</c:v>
                </c:pt>
                <c:pt idx="6">
                  <c:v>436250</c:v>
                </c:pt>
                <c:pt idx="7">
                  <c:v>432000</c:v>
                </c:pt>
                <c:pt idx="8">
                  <c:v>429500</c:v>
                </c:pt>
                <c:pt idx="9">
                  <c:v>373650</c:v>
                </c:pt>
                <c:pt idx="10">
                  <c:v>360100</c:v>
                </c:pt>
                <c:pt idx="11">
                  <c:v>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B-4F50-A8CC-D2FBB68B9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056553"/>
        <c:axId val="46161335"/>
      </c:barChart>
      <c:catAx>
        <c:axId val="650565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6161335"/>
        <c:crosses val="autoZero"/>
        <c:auto val="1"/>
        <c:lblAlgn val="ctr"/>
        <c:lblOffset val="100"/>
        <c:noMultiLvlLbl val="0"/>
      </c:catAx>
      <c:valAx>
        <c:axId val="46161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50565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Forma de Pagamento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Dashboard!$F$10</c:f>
              <c:strCache>
                <c:ptCount val="1"/>
                <c:pt idx="0">
                  <c:v>Qtde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7F6-453D-896C-2EEDD6FD7AD5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7F6-453D-896C-2EEDD6FD7AD5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7F6-453D-896C-2EEDD6FD7AD5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7F6-453D-896C-2EEDD6FD7AD5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7F6-453D-896C-2EEDD6FD7AD5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7F6-453D-896C-2EEDD6FD7AD5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7F6-453D-896C-2EEDD6FD7AD5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17F6-453D-896C-2EEDD6FD7AD5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17F6-453D-896C-2EEDD6FD7AD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7F6-453D-896C-2EEDD6FD7AD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7F6-453D-896C-2EEDD6FD7AD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7F6-453D-896C-2EEDD6FD7AD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17F6-453D-896C-2EEDD6FD7AD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17F6-453D-896C-2EEDD6FD7AD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17F6-453D-896C-2EEDD6FD7AD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17F6-453D-896C-2EEDD6FD7AD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17F6-453D-896C-2EEDD6FD7AD5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17F6-453D-896C-2EEDD6FD7A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Dashboard!$E$11:$E$19</c:f>
              <c:strCache>
                <c:ptCount val="9"/>
                <c:pt idx="0">
                  <c:v>Wire Transfer</c:v>
                </c:pt>
                <c:pt idx="1">
                  <c:v>Credit Card</c:v>
                </c:pt>
                <c:pt idx="2">
                  <c:v>Financing</c:v>
                </c:pt>
                <c:pt idx="3">
                  <c:v>Cash</c:v>
                </c:pt>
                <c:pt idx="4">
                  <c:v>Bank Transfer</c:v>
                </c:pt>
                <c:pt idx="5">
                  <c:v>Lease</c:v>
                </c:pt>
                <c:pt idx="6">
                  <c:v>Crypto Payment</c:v>
                </c:pt>
                <c:pt idx="7">
                  <c:v>Debit Card</c:v>
                </c:pt>
                <c:pt idx="8">
                  <c:v>ACH Payment</c:v>
                </c:pt>
              </c:strCache>
            </c:strRef>
          </c:cat>
          <c:val>
            <c:numRef>
              <c:f>Dashboard!$F$11:$F$19</c:f>
              <c:numCache>
                <c:formatCode>General</c:formatCode>
                <c:ptCount val="9"/>
                <c:pt idx="0">
                  <c:v>26</c:v>
                </c:pt>
                <c:pt idx="1">
                  <c:v>15</c:v>
                </c:pt>
                <c:pt idx="2">
                  <c:v>13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7F6-453D-896C-2EEDD6FD7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Status de Entrega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Dashboard!$F$22</c:f>
              <c:strCache>
                <c:ptCount val="1"/>
                <c:pt idx="0">
                  <c:v>Qtde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Dashboard!$E$23:$E$32</c:f>
              <c:strCache>
                <c:ptCount val="10"/>
                <c:pt idx="0">
                  <c:v>Delivered</c:v>
                </c:pt>
                <c:pt idx="1">
                  <c:v>Pending</c:v>
                </c:pt>
                <c:pt idx="2">
                  <c:v>In Transit</c:v>
                </c:pt>
                <c:pt idx="3">
                  <c:v>Cancelled</c:v>
                </c:pt>
                <c:pt idx="4">
                  <c:v>Awaiting Delivery</c:v>
                </c:pt>
                <c:pt idx="5">
                  <c:v>Pending Approval</c:v>
                </c:pt>
                <c:pt idx="6">
                  <c:v>Shipped</c:v>
                </c:pt>
                <c:pt idx="7">
                  <c:v>Awaiting Pickup</c:v>
                </c:pt>
                <c:pt idx="8">
                  <c:v>Pending Review</c:v>
                </c:pt>
                <c:pt idx="9">
                  <c:v>Awaiting Review</c:v>
                </c:pt>
              </c:strCache>
            </c:strRef>
          </c:cat>
          <c:val>
            <c:numRef>
              <c:f>Dashboard!$F$23:$F$32</c:f>
              <c:numCache>
                <c:formatCode>General</c:formatCode>
                <c:ptCount val="10"/>
                <c:pt idx="0">
                  <c:v>41</c:v>
                </c:pt>
                <c:pt idx="1">
                  <c:v>17</c:v>
                </c:pt>
                <c:pt idx="2">
                  <c:v>15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6-4ED3-992C-3A756CD63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63183"/>
        <c:axId val="91356405"/>
      </c:barChart>
      <c:catAx>
        <c:axId val="6766318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1356405"/>
        <c:crosses val="autoZero"/>
        <c:auto val="1"/>
        <c:lblAlgn val="ctr"/>
        <c:lblOffset val="100"/>
        <c:noMultiLvlLbl val="0"/>
      </c:catAx>
      <c:valAx>
        <c:axId val="913564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76631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131040</xdr:rowOff>
    </xdr:from>
    <xdr:to>
      <xdr:col>17</xdr:col>
      <xdr:colOff>255600</xdr:colOff>
      <xdr:row>18</xdr:row>
      <xdr:rowOff>63000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41400</xdr:rowOff>
    </xdr:from>
    <xdr:to>
      <xdr:col>15</xdr:col>
      <xdr:colOff>38880</xdr:colOff>
      <xdr:row>35</xdr:row>
      <xdr:rowOff>63360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37</xdr:row>
      <xdr:rowOff>41040</xdr:rowOff>
    </xdr:from>
    <xdr:to>
      <xdr:col>15</xdr:col>
      <xdr:colOff>38880</xdr:colOff>
      <xdr:row>52</xdr:row>
      <xdr:rowOff>63000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6"/>
  <sheetViews>
    <sheetView showGridLines="0" tabSelected="1" zoomScaleNormal="100" workbookViewId="0"/>
  </sheetViews>
  <sheetFormatPr defaultColWidth="8.7109375" defaultRowHeight="15" x14ac:dyDescent="0.25"/>
  <cols>
    <col min="1" max="1" width="3" customWidth="1"/>
    <col min="2" max="2" width="22" customWidth="1"/>
    <col min="3" max="4" width="16" customWidth="1"/>
    <col min="5" max="5" width="24" customWidth="1"/>
    <col min="6" max="8" width="10" customWidth="1"/>
  </cols>
  <sheetData>
    <row r="2" spans="2:9" ht="19.5" customHeight="1" x14ac:dyDescent="0.3">
      <c r="B2" s="4" t="s">
        <v>0</v>
      </c>
    </row>
    <row r="3" spans="2:9" ht="15" customHeight="1" x14ac:dyDescent="0.25">
      <c r="B3" s="5" t="s">
        <v>1</v>
      </c>
    </row>
    <row r="5" spans="2:9" ht="15" customHeight="1" x14ac:dyDescent="0.25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spans="2:9" ht="21.75" customHeight="1" x14ac:dyDescent="0.35">
      <c r="B6" s="2">
        <f>SUM('Dados Limpos'!F2:F101)</f>
        <v>12827800.5</v>
      </c>
      <c r="C6" s="2"/>
      <c r="D6" s="2">
        <f>AVERAGE('Dados Limpos'!F2:F101)</f>
        <v>128278.005</v>
      </c>
      <c r="E6" s="2"/>
      <c r="F6" s="1">
        <f>COUNTA('Dados Limpos'!A2:A101)</f>
        <v>100</v>
      </c>
      <c r="G6" s="1"/>
      <c r="H6" s="1">
        <f>COUNTIF('Dados Limpos'!L2:L101,"Delivered")</f>
        <v>41</v>
      </c>
      <c r="I6" s="1"/>
    </row>
    <row r="9" spans="2:9" ht="15" customHeight="1" x14ac:dyDescent="0.25">
      <c r="B9" s="6" t="s">
        <v>6</v>
      </c>
      <c r="E9" s="6" t="s">
        <v>7</v>
      </c>
    </row>
    <row r="10" spans="2:9" ht="15" customHeight="1" x14ac:dyDescent="0.25">
      <c r="B10" s="7" t="s">
        <v>8</v>
      </c>
      <c r="C10" s="7" t="s">
        <v>9</v>
      </c>
      <c r="E10" s="7" t="s">
        <v>10</v>
      </c>
      <c r="F10" s="7" t="s">
        <v>11</v>
      </c>
    </row>
    <row r="11" spans="2:9" ht="15" customHeight="1" x14ac:dyDescent="0.25">
      <c r="B11" s="8" t="s">
        <v>12</v>
      </c>
      <c r="C11" s="9">
        <f>SUMIF('Dados Limpos'!$D$2:$D$101,B11,'Dados Limpos'!$F$2:$F$101)</f>
        <v>810600</v>
      </c>
      <c r="E11" s="8" t="s">
        <v>13</v>
      </c>
      <c r="F11" s="8">
        <f>COUNTIF('Dados Limpos'!$H$2:$H$101,E11)</f>
        <v>26</v>
      </c>
    </row>
    <row r="12" spans="2:9" ht="15" customHeight="1" x14ac:dyDescent="0.25">
      <c r="B12" s="8" t="s">
        <v>14</v>
      </c>
      <c r="C12" s="9">
        <f>SUMIF('Dados Limpos'!$D$2:$D$101,B12,'Dados Limpos'!$F$2:$F$101)</f>
        <v>726300</v>
      </c>
      <c r="E12" s="8" t="s">
        <v>15</v>
      </c>
      <c r="F12" s="8">
        <f>COUNTIF('Dados Limpos'!$H$2:$H$101,E12)</f>
        <v>15</v>
      </c>
    </row>
    <row r="13" spans="2:9" ht="15" customHeight="1" x14ac:dyDescent="0.25">
      <c r="B13" s="8" t="s">
        <v>16</v>
      </c>
      <c r="C13" s="9">
        <f>SUMIF('Dados Limpos'!$D$2:$D$101,B13,'Dados Limpos'!$F$2:$F$101)</f>
        <v>697500</v>
      </c>
      <c r="E13" s="8" t="s">
        <v>17</v>
      </c>
      <c r="F13" s="8">
        <f>COUNTIF('Dados Limpos'!$H$2:$H$101,E13)</f>
        <v>13</v>
      </c>
    </row>
    <row r="14" spans="2:9" ht="15" customHeight="1" x14ac:dyDescent="0.25">
      <c r="B14" s="8" t="s">
        <v>18</v>
      </c>
      <c r="C14" s="9">
        <f>SUMIF('Dados Limpos'!$D$2:$D$101,B14,'Dados Limpos'!$F$2:$F$101)</f>
        <v>592800</v>
      </c>
      <c r="E14" s="8" t="s">
        <v>19</v>
      </c>
      <c r="F14" s="8">
        <f>COUNTIF('Dados Limpos'!$H$2:$H$101,E14)</f>
        <v>12</v>
      </c>
    </row>
    <row r="15" spans="2:9" ht="15" customHeight="1" x14ac:dyDescent="0.25">
      <c r="B15" s="8" t="s">
        <v>20</v>
      </c>
      <c r="C15" s="9">
        <f>SUMIF('Dados Limpos'!$D$2:$D$101,B15,'Dados Limpos'!$F$2:$F$101)</f>
        <v>514300</v>
      </c>
      <c r="E15" s="8" t="s">
        <v>21</v>
      </c>
      <c r="F15" s="8">
        <f>COUNTIF('Dados Limpos'!$H$2:$H$101,E15)</f>
        <v>10</v>
      </c>
    </row>
    <row r="16" spans="2:9" ht="15" customHeight="1" x14ac:dyDescent="0.25">
      <c r="B16" s="8" t="s">
        <v>22</v>
      </c>
      <c r="C16" s="9">
        <f>SUMIF('Dados Limpos'!$D$2:$D$101,B16,'Dados Limpos'!$F$2:$F$101)</f>
        <v>475700.5</v>
      </c>
      <c r="E16" s="8" t="s">
        <v>23</v>
      </c>
      <c r="F16" s="8">
        <f>COUNTIF('Dados Limpos'!$H$2:$H$101,E16)</f>
        <v>10</v>
      </c>
    </row>
    <row r="17" spans="2:6" ht="15" customHeight="1" x14ac:dyDescent="0.25">
      <c r="B17" s="8" t="s">
        <v>24</v>
      </c>
      <c r="C17" s="9">
        <f>SUMIF('Dados Limpos'!$D$2:$D$101,B17,'Dados Limpos'!$F$2:$F$101)</f>
        <v>436250</v>
      </c>
      <c r="E17" s="8" t="s">
        <v>25</v>
      </c>
      <c r="F17" s="8">
        <f>COUNTIF('Dados Limpos'!$H$2:$H$101,E17)</f>
        <v>6</v>
      </c>
    </row>
    <row r="18" spans="2:6" ht="15" customHeight="1" x14ac:dyDescent="0.25">
      <c r="B18" s="8" t="s">
        <v>26</v>
      </c>
      <c r="C18" s="9">
        <f>SUMIF('Dados Limpos'!$D$2:$D$101,B18,'Dados Limpos'!$F$2:$F$101)</f>
        <v>432000</v>
      </c>
      <c r="E18" s="8" t="s">
        <v>27</v>
      </c>
      <c r="F18" s="8">
        <f>COUNTIF('Dados Limpos'!$H$2:$H$101,E18)</f>
        <v>4</v>
      </c>
    </row>
    <row r="19" spans="2:6" ht="15" customHeight="1" x14ac:dyDescent="0.25">
      <c r="B19" s="8" t="s">
        <v>28</v>
      </c>
      <c r="C19" s="9">
        <f>SUMIF('Dados Limpos'!$D$2:$D$101,B19,'Dados Limpos'!$F$2:$F$101)</f>
        <v>429500</v>
      </c>
      <c r="E19" s="8" t="s">
        <v>29</v>
      </c>
      <c r="F19" s="8">
        <f>COUNTIF('Dados Limpos'!$H$2:$H$101,E19)</f>
        <v>4</v>
      </c>
    </row>
    <row r="20" spans="2:6" ht="15" customHeight="1" x14ac:dyDescent="0.25">
      <c r="B20" s="8" t="s">
        <v>30</v>
      </c>
      <c r="C20" s="9">
        <f>SUMIF('Dados Limpos'!$D$2:$D$101,B20,'Dados Limpos'!$F$2:$F$101)</f>
        <v>373650</v>
      </c>
    </row>
    <row r="21" spans="2:6" ht="15" customHeight="1" x14ac:dyDescent="0.25">
      <c r="B21" s="8" t="s">
        <v>31</v>
      </c>
      <c r="C21" s="9">
        <f>SUMIF('Dados Limpos'!$D$2:$D$101,B21,'Dados Limpos'!$F$2:$F$101)</f>
        <v>360100</v>
      </c>
      <c r="E21" s="6" t="s">
        <v>32</v>
      </c>
    </row>
    <row r="22" spans="2:6" ht="15" customHeight="1" x14ac:dyDescent="0.25">
      <c r="B22" s="8" t="s">
        <v>33</v>
      </c>
      <c r="C22" s="9">
        <f>SUMIF('Dados Limpos'!$D$2:$D$101,B22,'Dados Limpos'!$F$2:$F$101)</f>
        <v>350000</v>
      </c>
      <c r="E22" s="7" t="s">
        <v>34</v>
      </c>
      <c r="F22" s="7" t="s">
        <v>11</v>
      </c>
    </row>
    <row r="23" spans="2:6" ht="15" customHeight="1" x14ac:dyDescent="0.25">
      <c r="B23" s="8" t="s">
        <v>35</v>
      </c>
      <c r="C23" s="9">
        <f>SUMIF('Dados Limpos'!$D$2:$D$101,B23,'Dados Limpos'!$F$2:$F$101)</f>
        <v>333000</v>
      </c>
      <c r="E23" s="8" t="s">
        <v>36</v>
      </c>
      <c r="F23" s="8">
        <f>COUNTIF('Dados Limpos'!$L$2:$L$101,E23)</f>
        <v>41</v>
      </c>
    </row>
    <row r="24" spans="2:6" ht="15" customHeight="1" x14ac:dyDescent="0.25">
      <c r="B24" s="8" t="s">
        <v>37</v>
      </c>
      <c r="C24" s="9">
        <f>SUMIF('Dados Limpos'!$D$2:$D$101,B24,'Dados Limpos'!$F$2:$F$101)</f>
        <v>315250</v>
      </c>
      <c r="E24" s="8" t="s">
        <v>38</v>
      </c>
      <c r="F24" s="8">
        <f>COUNTIF('Dados Limpos'!$L$2:$L$101,E24)</f>
        <v>17</v>
      </c>
    </row>
    <row r="25" spans="2:6" ht="15" customHeight="1" x14ac:dyDescent="0.25">
      <c r="B25" s="8" t="s">
        <v>39</v>
      </c>
      <c r="C25" s="9">
        <f>SUMIF('Dados Limpos'!$D$2:$D$101,B25,'Dados Limpos'!$F$2:$F$101)</f>
        <v>304400</v>
      </c>
      <c r="E25" s="8" t="s">
        <v>40</v>
      </c>
      <c r="F25" s="8">
        <f>COUNTIF('Dados Limpos'!$L$2:$L$101,E25)</f>
        <v>15</v>
      </c>
    </row>
    <row r="26" spans="2:6" ht="15" customHeight="1" x14ac:dyDescent="0.25">
      <c r="B26" s="8" t="s">
        <v>41</v>
      </c>
      <c r="C26" s="9">
        <f>SUMIF('Dados Limpos'!$D$2:$D$101,B26,'Dados Limpos'!$F$2:$F$101)</f>
        <v>302000</v>
      </c>
      <c r="E26" s="8" t="s">
        <v>42</v>
      </c>
      <c r="F26" s="8">
        <f>COUNTIF('Dados Limpos'!$L$2:$L$101,E26)</f>
        <v>7</v>
      </c>
    </row>
    <row r="27" spans="2:6" ht="15" customHeight="1" x14ac:dyDescent="0.25">
      <c r="B27" s="8" t="s">
        <v>43</v>
      </c>
      <c r="C27" s="9">
        <f>SUMIF('Dados Limpos'!$D$2:$D$101,B27,'Dados Limpos'!$F$2:$F$101)</f>
        <v>289450</v>
      </c>
      <c r="E27" s="8" t="s">
        <v>44</v>
      </c>
      <c r="F27" s="8">
        <f>COUNTIF('Dados Limpos'!$L$2:$L$101,E27)</f>
        <v>5</v>
      </c>
    </row>
    <row r="28" spans="2:6" ht="15" customHeight="1" x14ac:dyDescent="0.25">
      <c r="B28" s="8" t="s">
        <v>45</v>
      </c>
      <c r="C28" s="9">
        <f>SUMIF('Dados Limpos'!$D$2:$D$101,B28,'Dados Limpos'!$F$2:$F$101)</f>
        <v>286500</v>
      </c>
      <c r="E28" s="8" t="s">
        <v>46</v>
      </c>
      <c r="F28" s="8">
        <f>COUNTIF('Dados Limpos'!$L$2:$L$101,E28)</f>
        <v>4</v>
      </c>
    </row>
    <row r="29" spans="2:6" ht="15" customHeight="1" x14ac:dyDescent="0.25">
      <c r="B29" s="8" t="s">
        <v>47</v>
      </c>
      <c r="C29" s="9">
        <f>SUMIF('Dados Limpos'!$D$2:$D$101,B29,'Dados Limpos'!$F$2:$F$101)</f>
        <v>285400</v>
      </c>
      <c r="E29" s="8" t="s">
        <v>48</v>
      </c>
      <c r="F29" s="8">
        <f>COUNTIF('Dados Limpos'!$L$2:$L$101,E29)</f>
        <v>4</v>
      </c>
    </row>
    <row r="30" spans="2:6" ht="15" customHeight="1" x14ac:dyDescent="0.25">
      <c r="B30" s="8" t="s">
        <v>49</v>
      </c>
      <c r="C30" s="9">
        <f>SUMIF('Dados Limpos'!$D$2:$D$101,B30,'Dados Limpos'!$F$2:$F$101)</f>
        <v>284500</v>
      </c>
      <c r="E30" s="8" t="s">
        <v>50</v>
      </c>
      <c r="F30" s="8">
        <f>COUNTIF('Dados Limpos'!$L$2:$L$101,E30)</f>
        <v>4</v>
      </c>
    </row>
    <row r="31" spans="2:6" ht="15" customHeight="1" x14ac:dyDescent="0.25">
      <c r="B31" s="8" t="s">
        <v>51</v>
      </c>
      <c r="C31" s="9">
        <f>SUMIF('Dados Limpos'!$D$2:$D$101,B31,'Dados Limpos'!$F$2:$F$101)</f>
        <v>273500</v>
      </c>
      <c r="E31" s="8" t="s">
        <v>52</v>
      </c>
      <c r="F31" s="8">
        <f>COUNTIF('Dados Limpos'!$L$2:$L$101,E31)</f>
        <v>2</v>
      </c>
    </row>
    <row r="32" spans="2:6" ht="15" customHeight="1" x14ac:dyDescent="0.25">
      <c r="B32" s="8" t="s">
        <v>53</v>
      </c>
      <c r="C32" s="9">
        <f>SUMIF('Dados Limpos'!$D$2:$D$101,B32,'Dados Limpos'!$F$2:$F$101)</f>
        <v>266000</v>
      </c>
      <c r="E32" s="8" t="s">
        <v>54</v>
      </c>
      <c r="F32" s="8">
        <f>COUNTIF('Dados Limpos'!$L$2:$L$101,E32)</f>
        <v>1</v>
      </c>
    </row>
    <row r="33" spans="2:3" ht="15" customHeight="1" x14ac:dyDescent="0.25">
      <c r="B33" s="8" t="s">
        <v>55</v>
      </c>
      <c r="C33" s="9">
        <f>SUMIF('Dados Limpos'!$D$2:$D$101,B33,'Dados Limpos'!$F$2:$F$101)</f>
        <v>259800</v>
      </c>
    </row>
    <row r="34" spans="2:3" ht="15" customHeight="1" x14ac:dyDescent="0.25">
      <c r="B34" s="8" t="s">
        <v>56</v>
      </c>
      <c r="C34" s="9">
        <f>SUMIF('Dados Limpos'!$D$2:$D$101,B34,'Dados Limpos'!$F$2:$F$101)</f>
        <v>251400</v>
      </c>
    </row>
    <row r="35" spans="2:3" ht="15" customHeight="1" x14ac:dyDescent="0.25">
      <c r="B35" s="8" t="s">
        <v>57</v>
      </c>
      <c r="C35" s="9">
        <f>SUMIF('Dados Limpos'!$D$2:$D$101,B35,'Dados Limpos'!$F$2:$F$101)</f>
        <v>246400</v>
      </c>
    </row>
    <row r="36" spans="2:3" ht="15" customHeight="1" x14ac:dyDescent="0.25">
      <c r="B36" s="8" t="s">
        <v>58</v>
      </c>
      <c r="C36" s="9">
        <f>SUMIF('Dados Limpos'!$D$2:$D$101,B36,'Dados Limpos'!$F$2:$F$101)</f>
        <v>241650</v>
      </c>
    </row>
    <row r="37" spans="2:3" ht="15" customHeight="1" x14ac:dyDescent="0.25">
      <c r="B37" s="8" t="s">
        <v>59</v>
      </c>
      <c r="C37" s="9">
        <f>SUMIF('Dados Limpos'!$D$2:$D$101,B37,'Dados Limpos'!$F$2:$F$101)</f>
        <v>239700</v>
      </c>
    </row>
    <row r="38" spans="2:3" ht="15" customHeight="1" x14ac:dyDescent="0.25">
      <c r="B38" s="8" t="s">
        <v>60</v>
      </c>
      <c r="C38" s="9">
        <f>SUMIF('Dados Limpos'!$D$2:$D$101,B38,'Dados Limpos'!$F$2:$F$101)</f>
        <v>236800</v>
      </c>
    </row>
    <row r="39" spans="2:3" ht="15" customHeight="1" x14ac:dyDescent="0.25">
      <c r="B39" s="8" t="s">
        <v>61</v>
      </c>
      <c r="C39" s="9">
        <f>SUMIF('Dados Limpos'!$D$2:$D$101,B39,'Dados Limpos'!$F$2:$F$101)</f>
        <v>231000</v>
      </c>
    </row>
    <row r="40" spans="2:3" ht="15" customHeight="1" x14ac:dyDescent="0.25">
      <c r="B40" s="8" t="s">
        <v>62</v>
      </c>
      <c r="C40" s="9">
        <f>SUMIF('Dados Limpos'!$D$2:$D$101,B40,'Dados Limpos'!$F$2:$F$101)</f>
        <v>228300</v>
      </c>
    </row>
    <row r="41" spans="2:3" ht="15" customHeight="1" x14ac:dyDescent="0.25">
      <c r="B41" s="8" t="s">
        <v>63</v>
      </c>
      <c r="C41" s="9">
        <f>SUMIF('Dados Limpos'!$D$2:$D$101,B41,'Dados Limpos'!$F$2:$F$101)</f>
        <v>219400</v>
      </c>
    </row>
    <row r="42" spans="2:3" ht="15" customHeight="1" x14ac:dyDescent="0.25">
      <c r="B42" s="8" t="s">
        <v>64</v>
      </c>
      <c r="C42" s="9">
        <f>SUMIF('Dados Limpos'!$D$2:$D$101,B42,'Dados Limpos'!$F$2:$F$101)</f>
        <v>217750</v>
      </c>
    </row>
    <row r="43" spans="2:3" ht="15" customHeight="1" x14ac:dyDescent="0.25">
      <c r="B43" s="8" t="s">
        <v>65</v>
      </c>
      <c r="C43" s="9">
        <f>SUMIF('Dados Limpos'!$D$2:$D$101,B43,'Dados Limpos'!$F$2:$F$101)</f>
        <v>205800</v>
      </c>
    </row>
    <row r="44" spans="2:3" ht="15" customHeight="1" x14ac:dyDescent="0.25">
      <c r="B44" s="8" t="s">
        <v>66</v>
      </c>
      <c r="C44" s="9">
        <f>SUMIF('Dados Limpos'!$D$2:$D$101,B44,'Dados Limpos'!$F$2:$F$101)</f>
        <v>205450</v>
      </c>
    </row>
    <row r="45" spans="2:3" ht="15" customHeight="1" x14ac:dyDescent="0.25">
      <c r="B45" s="8" t="s">
        <v>67</v>
      </c>
      <c r="C45" s="9">
        <f>SUMIF('Dados Limpos'!$D$2:$D$101,B45,'Dados Limpos'!$F$2:$F$101)</f>
        <v>200900</v>
      </c>
    </row>
    <row r="46" spans="2:3" ht="15" customHeight="1" x14ac:dyDescent="0.25">
      <c r="B46" s="8" t="s">
        <v>68</v>
      </c>
      <c r="C46" s="9">
        <f>SUMIF('Dados Limpos'!$D$2:$D$101,B46,'Dados Limpos'!$F$2:$F$101)</f>
        <v>198300</v>
      </c>
    </row>
    <row r="47" spans="2:3" ht="15" customHeight="1" x14ac:dyDescent="0.25">
      <c r="B47" s="8" t="s">
        <v>69</v>
      </c>
      <c r="C47" s="9">
        <f>SUMIF('Dados Limpos'!$D$2:$D$101,B47,'Dados Limpos'!$F$2:$F$101)</f>
        <v>185400</v>
      </c>
    </row>
    <row r="48" spans="2:3" ht="15" customHeight="1" x14ac:dyDescent="0.25">
      <c r="B48" s="8" t="s">
        <v>70</v>
      </c>
      <c r="C48" s="9">
        <f>SUMIF('Dados Limpos'!$D$2:$D$101,B48,'Dados Limpos'!$F$2:$F$101)</f>
        <v>146800</v>
      </c>
    </row>
    <row r="49" spans="2:3" ht="15" customHeight="1" x14ac:dyDescent="0.25">
      <c r="B49" s="8" t="s">
        <v>71</v>
      </c>
      <c r="C49" s="9">
        <f>SUMIF('Dados Limpos'!$D$2:$D$101,B49,'Dados Limpos'!$F$2:$F$101)</f>
        <v>91500</v>
      </c>
    </row>
    <row r="50" spans="2:3" ht="15" customHeight="1" x14ac:dyDescent="0.25">
      <c r="B50" s="8" t="s">
        <v>72</v>
      </c>
      <c r="C50" s="9">
        <f>SUMIF('Dados Limpos'!$D$2:$D$101,B50,'Dados Limpos'!$F$2:$F$101)</f>
        <v>82750</v>
      </c>
    </row>
    <row r="52" spans="2:3" ht="15" customHeight="1" x14ac:dyDescent="0.25">
      <c r="B52" s="6" t="s">
        <v>73</v>
      </c>
    </row>
    <row r="53" spans="2:3" ht="15" customHeight="1" x14ac:dyDescent="0.25">
      <c r="B53" s="7" t="s">
        <v>74</v>
      </c>
      <c r="C53" s="7" t="s">
        <v>9</v>
      </c>
    </row>
    <row r="54" spans="2:3" ht="15" customHeight="1" x14ac:dyDescent="0.25">
      <c r="B54" s="8" t="s">
        <v>75</v>
      </c>
      <c r="C54" s="9">
        <f>SUMIF('Dados Limpos'!$J$2:$J$101,B54,'Dados Limpos'!$F$2:$F$101)</f>
        <v>2023400.5</v>
      </c>
    </row>
    <row r="55" spans="2:3" ht="15" customHeight="1" x14ac:dyDescent="0.25">
      <c r="B55" s="8" t="s">
        <v>76</v>
      </c>
      <c r="C55" s="9">
        <f>SUMIF('Dados Limpos'!$J$2:$J$101,B55,'Dados Limpos'!$F$2:$F$101)</f>
        <v>1973350</v>
      </c>
    </row>
    <row r="56" spans="2:3" ht="15" customHeight="1" x14ac:dyDescent="0.25">
      <c r="B56" s="8" t="s">
        <v>77</v>
      </c>
      <c r="C56" s="9">
        <f>SUMIF('Dados Limpos'!$J$2:$J$101,B56,'Dados Limpos'!$F$2:$F$101)</f>
        <v>695950</v>
      </c>
    </row>
    <row r="57" spans="2:3" ht="15" customHeight="1" x14ac:dyDescent="0.25">
      <c r="B57" s="8" t="s">
        <v>78</v>
      </c>
      <c r="C57" s="9">
        <f>SUMIF('Dados Limpos'!$J$2:$J$101,B57,'Dados Limpos'!$F$2:$F$101)</f>
        <v>643400</v>
      </c>
    </row>
    <row r="58" spans="2:3" ht="15" customHeight="1" x14ac:dyDescent="0.25">
      <c r="B58" s="8" t="s">
        <v>79</v>
      </c>
      <c r="C58" s="9">
        <f>SUMIF('Dados Limpos'!$J$2:$J$101,B58,'Dados Limpos'!$F$2:$F$101)</f>
        <v>566600</v>
      </c>
    </row>
    <row r="59" spans="2:3" ht="15" customHeight="1" x14ac:dyDescent="0.25">
      <c r="B59" s="8" t="s">
        <v>80</v>
      </c>
      <c r="C59" s="9">
        <f>SUMIF('Dados Limpos'!$J$2:$J$101,B59,'Dados Limpos'!$F$2:$F$101)</f>
        <v>523850</v>
      </c>
    </row>
    <row r="60" spans="2:3" ht="15" customHeight="1" x14ac:dyDescent="0.25">
      <c r="B60" s="8" t="s">
        <v>81</v>
      </c>
      <c r="C60" s="9">
        <f>SUMIF('Dados Limpos'!$J$2:$J$101,B60,'Dados Limpos'!$F$2:$F$101)</f>
        <v>510100</v>
      </c>
    </row>
    <row r="61" spans="2:3" ht="15" customHeight="1" x14ac:dyDescent="0.25">
      <c r="B61" s="8" t="s">
        <v>82</v>
      </c>
      <c r="C61" s="9">
        <f>SUMIF('Dados Limpos'!$J$2:$J$101,B61,'Dados Limpos'!$F$2:$F$101)</f>
        <v>434800</v>
      </c>
    </row>
    <row r="62" spans="2:3" ht="15" customHeight="1" x14ac:dyDescent="0.25">
      <c r="B62" s="8" t="s">
        <v>83</v>
      </c>
      <c r="C62" s="9">
        <f>SUMIF('Dados Limpos'!$J$2:$J$101,B62,'Dados Limpos'!$F$2:$F$101)</f>
        <v>361400</v>
      </c>
    </row>
    <row r="63" spans="2:3" ht="15" customHeight="1" x14ac:dyDescent="0.25">
      <c r="B63" s="8" t="s">
        <v>84</v>
      </c>
      <c r="C63" s="9">
        <f>SUMIF('Dados Limpos'!$J$2:$J$101,B63,'Dados Limpos'!$F$2:$F$101)</f>
        <v>358700</v>
      </c>
    </row>
    <row r="64" spans="2:3" ht="15" customHeight="1" x14ac:dyDescent="0.25">
      <c r="B64" s="8" t="s">
        <v>85</v>
      </c>
      <c r="C64" s="9">
        <f>SUMIF('Dados Limpos'!$J$2:$J$101,B64,'Dados Limpos'!$F$2:$F$101)</f>
        <v>351600</v>
      </c>
    </row>
    <row r="65" spans="2:3" ht="15" customHeight="1" x14ac:dyDescent="0.25">
      <c r="B65" s="8" t="s">
        <v>86</v>
      </c>
      <c r="C65" s="9">
        <f>SUMIF('Dados Limpos'!$J$2:$J$101,B65,'Dados Limpos'!$F$2:$F$101)</f>
        <v>337600</v>
      </c>
    </row>
    <row r="66" spans="2:3" ht="15" customHeight="1" x14ac:dyDescent="0.25">
      <c r="B66" s="8" t="s">
        <v>87</v>
      </c>
      <c r="C66" s="9">
        <f>SUMIF('Dados Limpos'!$J$2:$J$101,B66,'Dados Limpos'!$F$2:$F$101)</f>
        <v>328800</v>
      </c>
    </row>
    <row r="67" spans="2:3" ht="15" customHeight="1" x14ac:dyDescent="0.25">
      <c r="B67" s="8" t="s">
        <v>88</v>
      </c>
      <c r="C67" s="9">
        <f>SUMIF('Dados Limpos'!$J$2:$J$101,B67,'Dados Limpos'!$F$2:$F$101)</f>
        <v>313900</v>
      </c>
    </row>
    <row r="68" spans="2:3" ht="15" customHeight="1" x14ac:dyDescent="0.25">
      <c r="B68" s="8" t="s">
        <v>89</v>
      </c>
      <c r="C68" s="9">
        <f>SUMIF('Dados Limpos'!$J$2:$J$101,B68,'Dados Limpos'!$F$2:$F$101)</f>
        <v>292000</v>
      </c>
    </row>
    <row r="69" spans="2:3" ht="15" customHeight="1" x14ac:dyDescent="0.25">
      <c r="B69" s="8" t="s">
        <v>90</v>
      </c>
      <c r="C69" s="9">
        <f>SUMIF('Dados Limpos'!$J$2:$J$101,B69,'Dados Limpos'!$F$2:$F$101)</f>
        <v>270000</v>
      </c>
    </row>
    <row r="70" spans="2:3" ht="15" customHeight="1" x14ac:dyDescent="0.25">
      <c r="B70" s="8" t="s">
        <v>91</v>
      </c>
      <c r="C70" s="9">
        <f>SUMIF('Dados Limpos'!$J$2:$J$101,B70,'Dados Limpos'!$F$2:$F$101)</f>
        <v>230300</v>
      </c>
    </row>
    <row r="71" spans="2:3" ht="15" customHeight="1" x14ac:dyDescent="0.25">
      <c r="B71" s="8" t="s">
        <v>92</v>
      </c>
      <c r="C71" s="9">
        <f>SUMIF('Dados Limpos'!$J$2:$J$101,B71,'Dados Limpos'!$F$2:$F$101)</f>
        <v>224000</v>
      </c>
    </row>
    <row r="72" spans="2:3" ht="15" customHeight="1" x14ac:dyDescent="0.25">
      <c r="B72" s="8" t="s">
        <v>93</v>
      </c>
      <c r="C72" s="9">
        <f>SUMIF('Dados Limpos'!$J$2:$J$101,B72,'Dados Limpos'!$F$2:$F$101)</f>
        <v>211200</v>
      </c>
    </row>
    <row r="73" spans="2:3" ht="15" customHeight="1" x14ac:dyDescent="0.25">
      <c r="B73" s="8" t="s">
        <v>94</v>
      </c>
      <c r="C73" s="9">
        <f>SUMIF('Dados Limpos'!$J$2:$J$101,B73,'Dados Limpos'!$F$2:$F$101)</f>
        <v>209000</v>
      </c>
    </row>
    <row r="74" spans="2:3" ht="15" customHeight="1" x14ac:dyDescent="0.25">
      <c r="B74" s="8" t="s">
        <v>95</v>
      </c>
      <c r="C74" s="9">
        <f>SUMIF('Dados Limpos'!$J$2:$J$101,B74,'Dados Limpos'!$F$2:$F$101)</f>
        <v>208450</v>
      </c>
    </row>
    <row r="75" spans="2:3" ht="15" customHeight="1" x14ac:dyDescent="0.25">
      <c r="B75" s="8" t="s">
        <v>96</v>
      </c>
      <c r="C75" s="9">
        <f>SUMIF('Dados Limpos'!$J$2:$J$101,B75,'Dados Limpos'!$F$2:$F$101)</f>
        <v>199900</v>
      </c>
    </row>
    <row r="76" spans="2:3" ht="15" customHeight="1" x14ac:dyDescent="0.25">
      <c r="B76" s="8" t="s">
        <v>97</v>
      </c>
      <c r="C76" s="9">
        <f>SUMIF('Dados Limpos'!$J$2:$J$101,B76,'Dados Limpos'!$F$2:$F$101)</f>
        <v>198300</v>
      </c>
    </row>
    <row r="77" spans="2:3" ht="15" customHeight="1" x14ac:dyDescent="0.25">
      <c r="B77" s="8" t="s">
        <v>98</v>
      </c>
      <c r="C77" s="9">
        <f>SUMIF('Dados Limpos'!$J$2:$J$101,B77,'Dados Limpos'!$F$2:$F$101)</f>
        <v>178750</v>
      </c>
    </row>
    <row r="78" spans="2:3" ht="15" customHeight="1" x14ac:dyDescent="0.25">
      <c r="B78" s="8" t="s">
        <v>99</v>
      </c>
      <c r="C78" s="9">
        <f>SUMIF('Dados Limpos'!$J$2:$J$101,B78,'Dados Limpos'!$F$2:$F$101)</f>
        <v>169000</v>
      </c>
    </row>
    <row r="79" spans="2:3" ht="15" customHeight="1" x14ac:dyDescent="0.25">
      <c r="B79" s="8" t="s">
        <v>100</v>
      </c>
      <c r="C79" s="9">
        <f>SUMIF('Dados Limpos'!$J$2:$J$101,B79,'Dados Limpos'!$F$2:$F$101)</f>
        <v>166100</v>
      </c>
    </row>
    <row r="80" spans="2:3" ht="15" customHeight="1" x14ac:dyDescent="0.25">
      <c r="B80" s="8" t="s">
        <v>101</v>
      </c>
      <c r="C80" s="9">
        <f>SUMIF('Dados Limpos'!$J$2:$J$101,B80,'Dados Limpos'!$F$2:$F$101)</f>
        <v>164000</v>
      </c>
    </row>
    <row r="81" spans="2:3" ht="15" customHeight="1" x14ac:dyDescent="0.25">
      <c r="B81" s="8" t="s">
        <v>102</v>
      </c>
      <c r="C81" s="9">
        <f>SUMIF('Dados Limpos'!$J$2:$J$101,B81,'Dados Limpos'!$F$2:$F$101)</f>
        <v>158750</v>
      </c>
    </row>
    <row r="82" spans="2:3" ht="15" customHeight="1" x14ac:dyDescent="0.25">
      <c r="B82" s="8" t="s">
        <v>103</v>
      </c>
      <c r="C82" s="9">
        <f>SUMIF('Dados Limpos'!$J$2:$J$101,B82,'Dados Limpos'!$F$2:$F$101)</f>
        <v>132000</v>
      </c>
    </row>
    <row r="83" spans="2:3" ht="15" customHeight="1" x14ac:dyDescent="0.25">
      <c r="B83" s="8" t="s">
        <v>104</v>
      </c>
      <c r="C83" s="9">
        <f>SUMIF('Dados Limpos'!$J$2:$J$101,B83,'Dados Limpos'!$F$2:$F$101)</f>
        <v>119900</v>
      </c>
    </row>
    <row r="84" spans="2:3" ht="15" customHeight="1" x14ac:dyDescent="0.25">
      <c r="B84" s="8" t="s">
        <v>105</v>
      </c>
      <c r="C84" s="9">
        <f>SUMIF('Dados Limpos'!$J$2:$J$101,B84,'Dados Limpos'!$F$2:$F$101)</f>
        <v>104600</v>
      </c>
    </row>
    <row r="85" spans="2:3" ht="15" customHeight="1" x14ac:dyDescent="0.25">
      <c r="B85" s="8" t="s">
        <v>106</v>
      </c>
      <c r="C85" s="9">
        <f>SUMIF('Dados Limpos'!$J$2:$J$101,B85,'Dados Limpos'!$F$2:$F$101)</f>
        <v>91300</v>
      </c>
    </row>
    <row r="86" spans="2:3" ht="15" customHeight="1" x14ac:dyDescent="0.25">
      <c r="B86" s="8" t="s">
        <v>107</v>
      </c>
      <c r="C86" s="9">
        <f>SUMIF('Dados Limpos'!$J$2:$J$101,B86,'Dados Limpos'!$F$2:$F$101)</f>
        <v>76800</v>
      </c>
    </row>
  </sheetData>
  <mergeCells count="8">
    <mergeCell ref="B5:C5"/>
    <mergeCell ref="D5:E5"/>
    <mergeCell ref="F5:G5"/>
    <mergeCell ref="H5:I5"/>
    <mergeCell ref="B6:C6"/>
    <mergeCell ref="D6:E6"/>
    <mergeCell ref="F6:G6"/>
    <mergeCell ref="H6:I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12" customWidth="1"/>
    <col min="3" max="4" width="20" customWidth="1"/>
    <col min="5" max="5" width="10" customWidth="1"/>
    <col min="6" max="9" width="16" customWidth="1"/>
    <col min="10" max="10" width="8" customWidth="1"/>
    <col min="11" max="11" width="18" customWidth="1"/>
    <col min="12" max="12" width="16" customWidth="1"/>
    <col min="13" max="13" width="12" customWidth="1"/>
    <col min="14" max="14" width="14" customWidth="1"/>
  </cols>
  <sheetData>
    <row r="1" spans="1:14" ht="23.25" customHeight="1" x14ac:dyDescent="0.25">
      <c r="A1" s="10" t="s">
        <v>108</v>
      </c>
      <c r="B1" s="10" t="s">
        <v>109</v>
      </c>
      <c r="C1" s="10" t="s">
        <v>110</v>
      </c>
      <c r="D1" s="10" t="s">
        <v>111</v>
      </c>
      <c r="E1" s="10" t="s">
        <v>112</v>
      </c>
      <c r="F1" s="10" t="s">
        <v>113</v>
      </c>
      <c r="G1" s="10" t="s">
        <v>114</v>
      </c>
      <c r="H1" s="10" t="s">
        <v>115</v>
      </c>
      <c r="I1" s="10" t="s">
        <v>116</v>
      </c>
      <c r="J1" s="10" t="s">
        <v>74</v>
      </c>
      <c r="K1" s="10" t="s">
        <v>117</v>
      </c>
      <c r="L1" s="10" t="s">
        <v>118</v>
      </c>
      <c r="M1" s="10" t="s">
        <v>119</v>
      </c>
      <c r="N1" s="10" t="s">
        <v>120</v>
      </c>
    </row>
    <row r="2" spans="1:14" ht="15" customHeight="1" x14ac:dyDescent="0.25">
      <c r="A2" s="11">
        <v>6</v>
      </c>
      <c r="B2" s="11" t="s">
        <v>121</v>
      </c>
      <c r="C2" s="11" t="s">
        <v>122</v>
      </c>
      <c r="D2" s="11" t="s">
        <v>62</v>
      </c>
      <c r="E2" s="11">
        <v>2022</v>
      </c>
      <c r="F2" s="12">
        <v>79500</v>
      </c>
      <c r="G2" s="13">
        <v>9800</v>
      </c>
      <c r="H2" s="11" t="s">
        <v>15</v>
      </c>
      <c r="I2" s="11" t="s">
        <v>123</v>
      </c>
      <c r="J2" s="11" t="s">
        <v>87</v>
      </c>
      <c r="K2" s="11" t="s">
        <v>124</v>
      </c>
      <c r="L2" s="11" t="s">
        <v>36</v>
      </c>
      <c r="M2" s="11" t="s">
        <v>125</v>
      </c>
      <c r="N2" s="11" t="s">
        <v>125</v>
      </c>
    </row>
    <row r="3" spans="1:14" ht="15" customHeight="1" x14ac:dyDescent="0.25">
      <c r="A3" s="11">
        <v>7</v>
      </c>
      <c r="B3" s="11" t="s">
        <v>126</v>
      </c>
      <c r="C3" s="11" t="s">
        <v>127</v>
      </c>
      <c r="D3" s="11" t="s">
        <v>14</v>
      </c>
      <c r="E3" s="11">
        <v>2024</v>
      </c>
      <c r="F3" s="12">
        <v>235000</v>
      </c>
      <c r="G3" s="13">
        <v>1200</v>
      </c>
      <c r="H3" s="11" t="s">
        <v>13</v>
      </c>
      <c r="I3" s="11" t="s">
        <v>128</v>
      </c>
      <c r="J3" s="11" t="s">
        <v>88</v>
      </c>
      <c r="K3" s="11" t="s">
        <v>129</v>
      </c>
      <c r="L3" s="11" t="s">
        <v>36</v>
      </c>
      <c r="M3" s="11" t="s">
        <v>130</v>
      </c>
      <c r="N3" s="11" t="s">
        <v>130</v>
      </c>
    </row>
    <row r="4" spans="1:14" ht="15" customHeight="1" x14ac:dyDescent="0.25">
      <c r="A4" s="11">
        <v>8</v>
      </c>
      <c r="B4" s="11" t="s">
        <v>131</v>
      </c>
      <c r="C4" s="11" t="s">
        <v>132</v>
      </c>
      <c r="D4" s="11" t="s">
        <v>24</v>
      </c>
      <c r="E4" s="11">
        <v>2023</v>
      </c>
      <c r="F4" s="12">
        <v>112750</v>
      </c>
      <c r="G4" s="13">
        <v>6400</v>
      </c>
      <c r="H4" s="11" t="s">
        <v>17</v>
      </c>
      <c r="I4" s="11" t="s">
        <v>133</v>
      </c>
      <c r="J4" s="11" t="s">
        <v>75</v>
      </c>
      <c r="K4" s="11" t="s">
        <v>134</v>
      </c>
      <c r="L4" s="11" t="s">
        <v>40</v>
      </c>
      <c r="M4" s="11" t="s">
        <v>130</v>
      </c>
      <c r="N4" s="11" t="s">
        <v>125</v>
      </c>
    </row>
    <row r="5" spans="1:14" ht="15" customHeight="1" x14ac:dyDescent="0.25">
      <c r="A5" s="11">
        <v>9</v>
      </c>
      <c r="B5" s="11" t="s">
        <v>121</v>
      </c>
      <c r="C5" s="11" t="s">
        <v>135</v>
      </c>
      <c r="D5" s="11" t="s">
        <v>66</v>
      </c>
      <c r="E5" s="11">
        <v>2021</v>
      </c>
      <c r="F5" s="12">
        <v>68900</v>
      </c>
      <c r="G5" s="13">
        <v>28</v>
      </c>
      <c r="H5" s="11" t="s">
        <v>19</v>
      </c>
      <c r="I5" s="11" t="s">
        <v>136</v>
      </c>
      <c r="J5" s="11" t="s">
        <v>86</v>
      </c>
      <c r="K5" s="11" t="s">
        <v>137</v>
      </c>
      <c r="L5" s="11" t="s">
        <v>38</v>
      </c>
      <c r="M5" s="11" t="s">
        <v>125</v>
      </c>
      <c r="N5" s="11" t="s">
        <v>125</v>
      </c>
    </row>
    <row r="6" spans="1:14" ht="15" customHeight="1" x14ac:dyDescent="0.25">
      <c r="A6" s="11">
        <v>10</v>
      </c>
      <c r="B6" s="11" t="s">
        <v>138</v>
      </c>
      <c r="C6" s="11" t="s">
        <v>139</v>
      </c>
      <c r="D6" s="11" t="s">
        <v>20</v>
      </c>
      <c r="E6" s="11">
        <v>2024</v>
      </c>
      <c r="F6" s="12">
        <v>121000</v>
      </c>
      <c r="G6" s="13">
        <v>0</v>
      </c>
      <c r="H6" s="11" t="s">
        <v>21</v>
      </c>
      <c r="I6" s="11" t="s">
        <v>140</v>
      </c>
      <c r="J6" s="11" t="s">
        <v>76</v>
      </c>
      <c r="K6" s="11" t="s">
        <v>141</v>
      </c>
      <c r="L6" s="11" t="s">
        <v>36</v>
      </c>
      <c r="M6" s="11" t="s">
        <v>130</v>
      </c>
      <c r="N6" s="11" t="s">
        <v>130</v>
      </c>
    </row>
    <row r="7" spans="1:14" ht="15" customHeight="1" x14ac:dyDescent="0.25">
      <c r="A7" s="11">
        <v>11</v>
      </c>
      <c r="B7" s="11" t="s">
        <v>142</v>
      </c>
      <c r="C7" s="11" t="s">
        <v>143</v>
      </c>
      <c r="D7" s="11" t="s">
        <v>65</v>
      </c>
      <c r="E7" s="11">
        <v>2023</v>
      </c>
      <c r="F7" s="12">
        <v>104500</v>
      </c>
      <c r="G7" s="13">
        <v>14500</v>
      </c>
      <c r="H7" s="11" t="s">
        <v>15</v>
      </c>
      <c r="I7" s="11" t="s">
        <v>144</v>
      </c>
      <c r="J7" s="11" t="s">
        <v>79</v>
      </c>
      <c r="K7" s="11" t="s">
        <v>145</v>
      </c>
      <c r="L7" s="11" t="s">
        <v>42</v>
      </c>
      <c r="M7" s="11" t="s">
        <v>130</v>
      </c>
      <c r="N7" s="11" t="s">
        <v>130</v>
      </c>
    </row>
    <row r="8" spans="1:14" ht="15" customHeight="1" x14ac:dyDescent="0.25">
      <c r="A8" s="11">
        <v>12</v>
      </c>
      <c r="B8" s="11" t="s">
        <v>146</v>
      </c>
      <c r="C8" s="11" t="s">
        <v>147</v>
      </c>
      <c r="D8" s="11" t="s">
        <v>67</v>
      </c>
      <c r="E8" s="11">
        <v>2020</v>
      </c>
      <c r="F8" s="12">
        <v>96300</v>
      </c>
      <c r="G8" s="13">
        <v>41000</v>
      </c>
      <c r="H8" s="11" t="s">
        <v>23</v>
      </c>
      <c r="I8" s="11" t="s">
        <v>148</v>
      </c>
      <c r="J8" s="11" t="s">
        <v>91</v>
      </c>
      <c r="K8" s="11" t="s">
        <v>149</v>
      </c>
      <c r="L8" s="11" t="s">
        <v>36</v>
      </c>
      <c r="M8" s="11" t="s">
        <v>130</v>
      </c>
      <c r="N8" s="11" t="s">
        <v>130</v>
      </c>
    </row>
    <row r="9" spans="1:14" ht="15" customHeight="1" x14ac:dyDescent="0.25">
      <c r="A9" s="11">
        <v>13</v>
      </c>
      <c r="B9" s="11" t="s">
        <v>121</v>
      </c>
      <c r="C9" s="11" t="s">
        <v>150</v>
      </c>
      <c r="D9" s="11" t="s">
        <v>30</v>
      </c>
      <c r="E9" s="11">
        <v>2022</v>
      </c>
      <c r="F9" s="12">
        <v>89750</v>
      </c>
      <c r="G9" s="13">
        <v>11744</v>
      </c>
      <c r="H9" s="11" t="s">
        <v>13</v>
      </c>
      <c r="I9" s="11" t="s">
        <v>151</v>
      </c>
      <c r="J9" s="11" t="s">
        <v>76</v>
      </c>
      <c r="K9" s="11" t="s">
        <v>152</v>
      </c>
      <c r="L9" s="11" t="s">
        <v>46</v>
      </c>
      <c r="M9" s="11" t="s">
        <v>125</v>
      </c>
      <c r="N9" s="11" t="s">
        <v>130</v>
      </c>
    </row>
    <row r="10" spans="1:14" ht="15" customHeight="1" x14ac:dyDescent="0.25">
      <c r="A10" s="11">
        <v>14</v>
      </c>
      <c r="B10" s="11" t="s">
        <v>153</v>
      </c>
      <c r="C10" s="11" t="s">
        <v>154</v>
      </c>
      <c r="D10" s="11" t="s">
        <v>63</v>
      </c>
      <c r="E10" s="11">
        <v>2021</v>
      </c>
      <c r="F10" s="12">
        <v>73500</v>
      </c>
      <c r="G10" s="13">
        <v>22300</v>
      </c>
      <c r="H10" s="11" t="s">
        <v>27</v>
      </c>
      <c r="I10" s="11" t="s">
        <v>155</v>
      </c>
      <c r="J10" s="11" t="s">
        <v>100</v>
      </c>
      <c r="K10" s="11" t="s">
        <v>156</v>
      </c>
      <c r="L10" s="11" t="s">
        <v>48</v>
      </c>
      <c r="M10" s="11" t="s">
        <v>130</v>
      </c>
      <c r="N10" s="11" t="s">
        <v>130</v>
      </c>
    </row>
    <row r="11" spans="1:14" ht="15" customHeight="1" x14ac:dyDescent="0.25">
      <c r="A11" s="11">
        <v>15</v>
      </c>
      <c r="B11" s="11" t="s">
        <v>157</v>
      </c>
      <c r="C11" s="11" t="s">
        <v>158</v>
      </c>
      <c r="D11" s="11" t="s">
        <v>47</v>
      </c>
      <c r="E11" s="11">
        <v>2024</v>
      </c>
      <c r="F11" s="12">
        <v>95000</v>
      </c>
      <c r="G11" s="13">
        <v>3500</v>
      </c>
      <c r="H11" s="11" t="s">
        <v>17</v>
      </c>
      <c r="I11" s="11" t="s">
        <v>159</v>
      </c>
      <c r="J11" s="11" t="s">
        <v>77</v>
      </c>
      <c r="K11" s="11" t="s">
        <v>160</v>
      </c>
      <c r="L11" s="11" t="s">
        <v>40</v>
      </c>
      <c r="M11" s="11" t="s">
        <v>130</v>
      </c>
      <c r="N11" s="11" t="s">
        <v>130</v>
      </c>
    </row>
    <row r="12" spans="1:14" ht="15" customHeight="1" x14ac:dyDescent="0.25">
      <c r="A12" s="11">
        <v>16</v>
      </c>
      <c r="B12" s="11" t="s">
        <v>161</v>
      </c>
      <c r="C12" s="11" t="s">
        <v>162</v>
      </c>
      <c r="D12" s="11" t="s">
        <v>22</v>
      </c>
      <c r="E12" s="11">
        <v>2023</v>
      </c>
      <c r="F12" s="12">
        <v>153200.5</v>
      </c>
      <c r="G12" s="13">
        <v>11</v>
      </c>
      <c r="H12" s="11" t="s">
        <v>29</v>
      </c>
      <c r="I12" s="11" t="s">
        <v>163</v>
      </c>
      <c r="J12" s="11" t="s">
        <v>75</v>
      </c>
      <c r="K12" s="11" t="s">
        <v>164</v>
      </c>
      <c r="L12" s="11" t="s">
        <v>36</v>
      </c>
      <c r="M12" s="11" t="s">
        <v>130</v>
      </c>
      <c r="N12" s="11" t="s">
        <v>130</v>
      </c>
    </row>
    <row r="13" spans="1:14" ht="15" customHeight="1" x14ac:dyDescent="0.25">
      <c r="A13" s="11">
        <v>17</v>
      </c>
      <c r="B13" s="11" t="s">
        <v>121</v>
      </c>
      <c r="C13" s="11" t="s">
        <v>165</v>
      </c>
      <c r="D13" s="11" t="s">
        <v>16</v>
      </c>
      <c r="E13" s="11">
        <v>2024</v>
      </c>
      <c r="F13" s="12">
        <v>241000</v>
      </c>
      <c r="G13" s="13">
        <v>750</v>
      </c>
      <c r="H13" s="11" t="s">
        <v>13</v>
      </c>
      <c r="I13" s="11" t="s">
        <v>166</v>
      </c>
      <c r="J13" s="11" t="s">
        <v>78</v>
      </c>
      <c r="K13" s="11" t="s">
        <v>167</v>
      </c>
      <c r="L13" s="11" t="s">
        <v>38</v>
      </c>
      <c r="M13" s="11" t="s">
        <v>125</v>
      </c>
      <c r="N13" s="11" t="s">
        <v>130</v>
      </c>
    </row>
    <row r="14" spans="1:14" ht="15" customHeight="1" x14ac:dyDescent="0.25">
      <c r="A14" s="11">
        <v>18</v>
      </c>
      <c r="B14" s="11" t="s">
        <v>168</v>
      </c>
      <c r="C14" s="11" t="s">
        <v>169</v>
      </c>
      <c r="D14" s="11" t="s">
        <v>53</v>
      </c>
      <c r="E14" s="11">
        <v>2022</v>
      </c>
      <c r="F14" s="12">
        <v>132000</v>
      </c>
      <c r="G14" s="13">
        <v>19250</v>
      </c>
      <c r="H14" s="11" t="s">
        <v>19</v>
      </c>
      <c r="I14" s="11" t="s">
        <v>170</v>
      </c>
      <c r="J14" s="11" t="s">
        <v>76</v>
      </c>
      <c r="K14" s="11" t="s">
        <v>171</v>
      </c>
      <c r="L14" s="11" t="s">
        <v>36</v>
      </c>
      <c r="M14" s="11" t="s">
        <v>130</v>
      </c>
      <c r="N14" s="11" t="s">
        <v>130</v>
      </c>
    </row>
    <row r="15" spans="1:14" ht="15" customHeight="1" x14ac:dyDescent="0.25">
      <c r="A15" s="11">
        <v>19</v>
      </c>
      <c r="B15" s="11" t="s">
        <v>172</v>
      </c>
      <c r="C15" s="11" t="s">
        <v>173</v>
      </c>
      <c r="D15" s="11" t="s">
        <v>18</v>
      </c>
      <c r="E15" s="11">
        <v>2024</v>
      </c>
      <c r="F15" s="12">
        <v>188000</v>
      </c>
      <c r="G15" s="13">
        <v>2100</v>
      </c>
      <c r="H15" s="11" t="s">
        <v>25</v>
      </c>
      <c r="I15" s="11" t="s">
        <v>174</v>
      </c>
      <c r="J15" s="11" t="s">
        <v>75</v>
      </c>
      <c r="K15" s="11" t="s">
        <v>175</v>
      </c>
      <c r="L15" s="11" t="s">
        <v>44</v>
      </c>
      <c r="M15" s="11" t="s">
        <v>130</v>
      </c>
      <c r="N15" s="11" t="s">
        <v>130</v>
      </c>
    </row>
    <row r="16" spans="1:14" ht="15" customHeight="1" x14ac:dyDescent="0.25">
      <c r="A16" s="11">
        <v>20</v>
      </c>
      <c r="B16" s="11" t="s">
        <v>176</v>
      </c>
      <c r="C16" s="11" t="s">
        <v>177</v>
      </c>
      <c r="D16" s="11" t="s">
        <v>55</v>
      </c>
      <c r="E16" s="11">
        <v>2023</v>
      </c>
      <c r="F16" s="12">
        <v>127800</v>
      </c>
      <c r="G16" s="13">
        <v>12000</v>
      </c>
      <c r="H16" s="11" t="s">
        <v>15</v>
      </c>
      <c r="I16" s="11" t="s">
        <v>178</v>
      </c>
      <c r="J16" s="11" t="s">
        <v>82</v>
      </c>
      <c r="K16" s="11" t="s">
        <v>179</v>
      </c>
      <c r="L16" s="11" t="s">
        <v>36</v>
      </c>
      <c r="M16" s="11" t="s">
        <v>130</v>
      </c>
      <c r="N16" s="11" t="s">
        <v>130</v>
      </c>
    </row>
    <row r="17" spans="1:14" ht="15" customHeight="1" x14ac:dyDescent="0.25">
      <c r="A17" s="11">
        <v>21</v>
      </c>
      <c r="B17" s="11" t="s">
        <v>180</v>
      </c>
      <c r="C17" s="11" t="s">
        <v>181</v>
      </c>
      <c r="D17" s="11" t="s">
        <v>69</v>
      </c>
      <c r="E17" s="11">
        <v>2021</v>
      </c>
      <c r="F17" s="12">
        <v>58900</v>
      </c>
      <c r="G17" s="13">
        <v>33700</v>
      </c>
      <c r="H17" s="11" t="s">
        <v>21</v>
      </c>
      <c r="I17" s="11" t="s">
        <v>182</v>
      </c>
      <c r="J17" s="11" t="s">
        <v>79</v>
      </c>
      <c r="K17" s="11" t="s">
        <v>183</v>
      </c>
      <c r="L17" s="11" t="s">
        <v>38</v>
      </c>
      <c r="M17" s="11" t="s">
        <v>130</v>
      </c>
      <c r="N17" s="11" t="s">
        <v>130</v>
      </c>
    </row>
    <row r="18" spans="1:14" ht="15" customHeight="1" x14ac:dyDescent="0.25">
      <c r="A18" s="11">
        <v>22</v>
      </c>
      <c r="B18" s="11" t="s">
        <v>121</v>
      </c>
      <c r="C18" s="11" t="s">
        <v>184</v>
      </c>
      <c r="D18" s="11" t="s">
        <v>35</v>
      </c>
      <c r="E18" s="11">
        <v>2024</v>
      </c>
      <c r="F18" s="12">
        <v>164000</v>
      </c>
      <c r="G18" s="13">
        <v>900</v>
      </c>
      <c r="H18" s="11" t="s">
        <v>17</v>
      </c>
      <c r="I18" s="11" t="s">
        <v>185</v>
      </c>
      <c r="J18" s="11" t="s">
        <v>101</v>
      </c>
      <c r="K18" s="11" t="s">
        <v>186</v>
      </c>
      <c r="L18" s="11" t="s">
        <v>40</v>
      </c>
      <c r="M18" s="11" t="s">
        <v>125</v>
      </c>
      <c r="N18" s="11" t="s">
        <v>130</v>
      </c>
    </row>
    <row r="19" spans="1:14" ht="15" customHeight="1" x14ac:dyDescent="0.25">
      <c r="A19" s="11">
        <v>23</v>
      </c>
      <c r="B19" s="11" t="s">
        <v>187</v>
      </c>
      <c r="C19" s="11" t="s">
        <v>188</v>
      </c>
      <c r="D19" s="11" t="s">
        <v>57</v>
      </c>
      <c r="E19" s="11">
        <v>2023</v>
      </c>
      <c r="F19" s="12">
        <v>118500</v>
      </c>
      <c r="G19" s="13">
        <v>7800</v>
      </c>
      <c r="H19" s="11" t="s">
        <v>13</v>
      </c>
      <c r="I19" s="11" t="s">
        <v>189</v>
      </c>
      <c r="J19" s="11" t="s">
        <v>81</v>
      </c>
      <c r="K19" s="11" t="s">
        <v>190</v>
      </c>
      <c r="L19" s="11" t="s">
        <v>36</v>
      </c>
      <c r="M19" s="11" t="s">
        <v>130</v>
      </c>
      <c r="N19" s="11" t="s">
        <v>130</v>
      </c>
    </row>
    <row r="20" spans="1:14" ht="15" customHeight="1" x14ac:dyDescent="0.25">
      <c r="A20" s="11">
        <v>24</v>
      </c>
      <c r="B20" s="11" t="s">
        <v>121</v>
      </c>
      <c r="C20" s="11" t="s">
        <v>191</v>
      </c>
      <c r="D20" s="11" t="s">
        <v>43</v>
      </c>
      <c r="E20" s="11">
        <v>2022</v>
      </c>
      <c r="F20" s="12">
        <v>91300</v>
      </c>
      <c r="G20" s="13">
        <v>16000</v>
      </c>
      <c r="H20" s="11" t="s">
        <v>15</v>
      </c>
      <c r="I20" s="11" t="s">
        <v>192</v>
      </c>
      <c r="J20" s="11" t="s">
        <v>106</v>
      </c>
      <c r="K20" s="11" t="s">
        <v>193</v>
      </c>
      <c r="L20" s="11" t="s">
        <v>38</v>
      </c>
      <c r="M20" s="11" t="s">
        <v>125</v>
      </c>
      <c r="N20" s="11" t="s">
        <v>130</v>
      </c>
    </row>
    <row r="21" spans="1:14" ht="15" customHeight="1" x14ac:dyDescent="0.25">
      <c r="A21" s="11">
        <v>25</v>
      </c>
      <c r="B21" s="11" t="s">
        <v>194</v>
      </c>
      <c r="C21" s="11" t="s">
        <v>195</v>
      </c>
      <c r="D21" s="11" t="s">
        <v>37</v>
      </c>
      <c r="E21" s="11">
        <v>2024</v>
      </c>
      <c r="F21" s="12">
        <v>158750</v>
      </c>
      <c r="G21" s="13">
        <v>2500</v>
      </c>
      <c r="H21" s="11" t="s">
        <v>23</v>
      </c>
      <c r="I21" s="11" t="s">
        <v>196</v>
      </c>
      <c r="J21" s="11" t="s">
        <v>102</v>
      </c>
      <c r="K21" s="11" t="s">
        <v>197</v>
      </c>
      <c r="L21" s="11" t="s">
        <v>36</v>
      </c>
      <c r="M21" s="11" t="s">
        <v>130</v>
      </c>
      <c r="N21" s="11" t="s">
        <v>130</v>
      </c>
    </row>
    <row r="22" spans="1:14" ht="15" customHeight="1" x14ac:dyDescent="0.25">
      <c r="A22" s="11">
        <v>26</v>
      </c>
      <c r="B22" s="11" t="s">
        <v>198</v>
      </c>
      <c r="C22" s="11" t="s">
        <v>199</v>
      </c>
      <c r="D22" s="11" t="s">
        <v>39</v>
      </c>
      <c r="E22" s="11">
        <v>2020</v>
      </c>
      <c r="F22" s="12">
        <v>72000</v>
      </c>
      <c r="G22" s="13">
        <v>49000</v>
      </c>
      <c r="H22" s="11" t="s">
        <v>21</v>
      </c>
      <c r="I22" s="11" t="s">
        <v>200</v>
      </c>
      <c r="J22" s="11" t="s">
        <v>96</v>
      </c>
      <c r="K22" s="11" t="s">
        <v>201</v>
      </c>
      <c r="L22" s="11" t="s">
        <v>42</v>
      </c>
      <c r="M22" s="11" t="s">
        <v>130</v>
      </c>
      <c r="N22" s="11" t="s">
        <v>130</v>
      </c>
    </row>
    <row r="23" spans="1:14" ht="15" customHeight="1" x14ac:dyDescent="0.25">
      <c r="A23" s="11">
        <v>27</v>
      </c>
      <c r="B23" s="11" t="s">
        <v>202</v>
      </c>
      <c r="C23" s="11" t="s">
        <v>203</v>
      </c>
      <c r="D23" s="11" t="s">
        <v>31</v>
      </c>
      <c r="E23" s="11">
        <v>2025</v>
      </c>
      <c r="F23" s="12">
        <v>86500</v>
      </c>
      <c r="G23" s="13">
        <v>0</v>
      </c>
      <c r="H23" s="11" t="s">
        <v>13</v>
      </c>
      <c r="I23" s="11" t="s">
        <v>204</v>
      </c>
      <c r="J23" s="11" t="s">
        <v>75</v>
      </c>
      <c r="K23" s="11" t="s">
        <v>205</v>
      </c>
      <c r="L23" s="11" t="s">
        <v>36</v>
      </c>
      <c r="M23" s="11" t="s">
        <v>130</v>
      </c>
      <c r="N23" s="11" t="s">
        <v>130</v>
      </c>
    </row>
    <row r="24" spans="1:14" ht="15" customHeight="1" x14ac:dyDescent="0.25">
      <c r="A24" s="11">
        <v>28</v>
      </c>
      <c r="B24" s="11" t="s">
        <v>121</v>
      </c>
      <c r="C24" s="11" t="s">
        <v>206</v>
      </c>
      <c r="D24" s="11" t="s">
        <v>12</v>
      </c>
      <c r="E24" s="11">
        <v>2024</v>
      </c>
      <c r="F24" s="12">
        <v>270000</v>
      </c>
      <c r="G24" s="13">
        <v>1050</v>
      </c>
      <c r="H24" s="11" t="s">
        <v>19</v>
      </c>
      <c r="I24" s="11" t="s">
        <v>207</v>
      </c>
      <c r="J24" s="11" t="s">
        <v>90</v>
      </c>
      <c r="K24" s="11" t="s">
        <v>208</v>
      </c>
      <c r="L24" s="11" t="s">
        <v>50</v>
      </c>
      <c r="M24" s="11" t="s">
        <v>125</v>
      </c>
      <c r="N24" s="11" t="s">
        <v>130</v>
      </c>
    </row>
    <row r="25" spans="1:14" ht="15" customHeight="1" x14ac:dyDescent="0.25">
      <c r="A25" s="11">
        <v>29</v>
      </c>
      <c r="B25" s="11" t="s">
        <v>209</v>
      </c>
      <c r="C25" s="11" t="s">
        <v>210</v>
      </c>
      <c r="D25" s="11" t="s">
        <v>28</v>
      </c>
      <c r="E25" s="11">
        <v>2023</v>
      </c>
      <c r="F25" s="12">
        <v>139000</v>
      </c>
      <c r="G25" s="13">
        <v>6250</v>
      </c>
      <c r="H25" s="11" t="s">
        <v>17</v>
      </c>
      <c r="I25" s="11" t="s">
        <v>211</v>
      </c>
      <c r="J25" s="11" t="s">
        <v>81</v>
      </c>
      <c r="K25" s="11" t="s">
        <v>212</v>
      </c>
      <c r="L25" s="11" t="s">
        <v>40</v>
      </c>
      <c r="M25" s="11" t="s">
        <v>130</v>
      </c>
      <c r="N25" s="11" t="s">
        <v>130</v>
      </c>
    </row>
    <row r="26" spans="1:14" ht="15" customHeight="1" x14ac:dyDescent="0.25">
      <c r="A26" s="11">
        <v>30</v>
      </c>
      <c r="B26" s="11" t="s">
        <v>213</v>
      </c>
      <c r="C26" s="11" t="s">
        <v>214</v>
      </c>
      <c r="D26" s="11" t="s">
        <v>59</v>
      </c>
      <c r="E26" s="11">
        <v>2021</v>
      </c>
      <c r="F26" s="12">
        <v>76800</v>
      </c>
      <c r="G26" s="13">
        <v>38400</v>
      </c>
      <c r="H26" s="11" t="s">
        <v>15</v>
      </c>
      <c r="I26" s="11" t="s">
        <v>215</v>
      </c>
      <c r="J26" s="11" t="s">
        <v>107</v>
      </c>
      <c r="K26" s="11" t="s">
        <v>216</v>
      </c>
      <c r="L26" s="11" t="s">
        <v>36</v>
      </c>
      <c r="M26" s="11" t="s">
        <v>130</v>
      </c>
      <c r="N26" s="11" t="s">
        <v>130</v>
      </c>
    </row>
    <row r="27" spans="1:14" ht="15" customHeight="1" x14ac:dyDescent="0.25">
      <c r="A27" s="11">
        <v>31</v>
      </c>
      <c r="B27" s="11" t="s">
        <v>121</v>
      </c>
      <c r="C27" s="11" t="s">
        <v>217</v>
      </c>
      <c r="D27" s="11" t="s">
        <v>33</v>
      </c>
      <c r="E27" s="11">
        <v>2024</v>
      </c>
      <c r="F27" s="12">
        <v>173600</v>
      </c>
      <c r="G27" s="13">
        <v>400</v>
      </c>
      <c r="H27" s="11" t="s">
        <v>13</v>
      </c>
      <c r="I27" s="11" t="s">
        <v>218</v>
      </c>
      <c r="J27" s="11" t="s">
        <v>80</v>
      </c>
      <c r="K27" s="11" t="s">
        <v>219</v>
      </c>
      <c r="L27" s="11" t="s">
        <v>38</v>
      </c>
      <c r="M27" s="11" t="s">
        <v>125</v>
      </c>
      <c r="N27" s="11" t="s">
        <v>130</v>
      </c>
    </row>
    <row r="28" spans="1:14" ht="15" customHeight="1" x14ac:dyDescent="0.25">
      <c r="A28" s="11">
        <v>32</v>
      </c>
      <c r="B28" s="11" t="s">
        <v>220</v>
      </c>
      <c r="C28" s="11" t="s">
        <v>221</v>
      </c>
      <c r="D28" s="11" t="s">
        <v>58</v>
      </c>
      <c r="E28" s="11">
        <v>2022</v>
      </c>
      <c r="F28" s="12">
        <v>119900</v>
      </c>
      <c r="G28" s="13">
        <v>13600</v>
      </c>
      <c r="H28" s="11" t="s">
        <v>19</v>
      </c>
      <c r="I28" s="11" t="s">
        <v>222</v>
      </c>
      <c r="J28" s="11" t="s">
        <v>104</v>
      </c>
      <c r="K28" s="11" t="s">
        <v>223</v>
      </c>
      <c r="L28" s="11" t="s">
        <v>36</v>
      </c>
      <c r="M28" s="11" t="s">
        <v>130</v>
      </c>
      <c r="N28" s="11" t="s">
        <v>130</v>
      </c>
    </row>
    <row r="29" spans="1:14" ht="15" customHeight="1" x14ac:dyDescent="0.25">
      <c r="A29" s="11">
        <v>33</v>
      </c>
      <c r="B29" s="11" t="s">
        <v>224</v>
      </c>
      <c r="C29" s="11" t="s">
        <v>225</v>
      </c>
      <c r="D29" s="11" t="s">
        <v>64</v>
      </c>
      <c r="E29" s="11">
        <v>2023</v>
      </c>
      <c r="F29" s="12">
        <v>109250</v>
      </c>
      <c r="G29" s="13">
        <v>8900</v>
      </c>
      <c r="H29" s="11" t="s">
        <v>23</v>
      </c>
      <c r="I29" s="11" t="s">
        <v>226</v>
      </c>
      <c r="J29" s="11" t="s">
        <v>75</v>
      </c>
      <c r="K29" s="11" t="s">
        <v>227</v>
      </c>
      <c r="L29" s="11" t="s">
        <v>40</v>
      </c>
      <c r="M29" s="11" t="s">
        <v>130</v>
      </c>
      <c r="N29" s="11" t="s">
        <v>130</v>
      </c>
    </row>
    <row r="30" spans="1:14" ht="15" customHeight="1" x14ac:dyDescent="0.25">
      <c r="A30" s="11">
        <v>34</v>
      </c>
      <c r="B30" s="11" t="s">
        <v>228</v>
      </c>
      <c r="C30" s="11" t="s">
        <v>229</v>
      </c>
      <c r="D30" s="11" t="s">
        <v>41</v>
      </c>
      <c r="E30" s="11">
        <v>2022</v>
      </c>
      <c r="F30" s="12">
        <v>82000</v>
      </c>
      <c r="G30" s="13">
        <v>21750</v>
      </c>
      <c r="H30" s="11" t="s">
        <v>13</v>
      </c>
      <c r="I30" s="11" t="s">
        <v>230</v>
      </c>
      <c r="J30" s="11" t="s">
        <v>79</v>
      </c>
      <c r="K30" s="11" t="s">
        <v>231</v>
      </c>
      <c r="L30" s="11" t="s">
        <v>36</v>
      </c>
      <c r="M30" s="11" t="s">
        <v>130</v>
      </c>
      <c r="N30" s="11" t="s">
        <v>130</v>
      </c>
    </row>
    <row r="31" spans="1:14" ht="15" customHeight="1" x14ac:dyDescent="0.25">
      <c r="A31" s="11">
        <v>35</v>
      </c>
      <c r="B31" s="11" t="s">
        <v>232</v>
      </c>
      <c r="C31" s="11" t="s">
        <v>233</v>
      </c>
      <c r="D31" s="11" t="s">
        <v>26</v>
      </c>
      <c r="E31" s="11">
        <v>2025</v>
      </c>
      <c r="F31" s="12">
        <v>214000</v>
      </c>
      <c r="G31" s="13">
        <v>0</v>
      </c>
      <c r="H31" s="11" t="s">
        <v>25</v>
      </c>
      <c r="I31" s="11" t="s">
        <v>151</v>
      </c>
      <c r="J31" s="11" t="s">
        <v>76</v>
      </c>
      <c r="K31" s="11" t="s">
        <v>234</v>
      </c>
      <c r="L31" s="11" t="s">
        <v>52</v>
      </c>
      <c r="M31" s="11" t="s">
        <v>130</v>
      </c>
      <c r="N31" s="11" t="s">
        <v>130</v>
      </c>
    </row>
    <row r="32" spans="1:14" ht="15" customHeight="1" x14ac:dyDescent="0.25">
      <c r="A32" s="11">
        <v>36</v>
      </c>
      <c r="B32" s="11" t="s">
        <v>121</v>
      </c>
      <c r="C32" s="11" t="s">
        <v>235</v>
      </c>
      <c r="D32" s="11" t="s">
        <v>56</v>
      </c>
      <c r="E32" s="11">
        <v>2024</v>
      </c>
      <c r="F32" s="12">
        <v>124500</v>
      </c>
      <c r="G32" s="13">
        <v>4800</v>
      </c>
      <c r="H32" s="11" t="s">
        <v>15</v>
      </c>
      <c r="I32" s="11" t="s">
        <v>236</v>
      </c>
      <c r="J32" s="11" t="s">
        <v>79</v>
      </c>
      <c r="K32" s="11" t="s">
        <v>237</v>
      </c>
      <c r="L32" s="11" t="s">
        <v>36</v>
      </c>
      <c r="M32" s="11" t="s">
        <v>125</v>
      </c>
      <c r="N32" s="11" t="s">
        <v>125</v>
      </c>
    </row>
    <row r="33" spans="1:14" ht="15" customHeight="1" x14ac:dyDescent="0.25">
      <c r="A33" s="11">
        <v>37</v>
      </c>
      <c r="B33" s="11" t="s">
        <v>238</v>
      </c>
      <c r="C33" s="11" t="s">
        <v>239</v>
      </c>
      <c r="D33" s="11" t="s">
        <v>43</v>
      </c>
      <c r="E33" s="11">
        <v>2023</v>
      </c>
      <c r="F33" s="12">
        <v>98200</v>
      </c>
      <c r="G33" s="13">
        <v>12200</v>
      </c>
      <c r="H33" s="11" t="s">
        <v>21</v>
      </c>
      <c r="I33" s="11" t="s">
        <v>240</v>
      </c>
      <c r="J33" s="11" t="s">
        <v>76</v>
      </c>
      <c r="K33" s="11" t="s">
        <v>241</v>
      </c>
      <c r="L33" s="11" t="s">
        <v>38</v>
      </c>
      <c r="M33" s="11" t="s">
        <v>130</v>
      </c>
      <c r="N33" s="11" t="s">
        <v>130</v>
      </c>
    </row>
    <row r="34" spans="1:14" ht="15" customHeight="1" x14ac:dyDescent="0.25">
      <c r="A34" s="11">
        <v>38</v>
      </c>
      <c r="B34" s="11" t="s">
        <v>242</v>
      </c>
      <c r="C34" s="11" t="s">
        <v>243</v>
      </c>
      <c r="D34" s="11" t="s">
        <v>69</v>
      </c>
      <c r="E34" s="11">
        <v>2022</v>
      </c>
      <c r="F34" s="12">
        <v>67500</v>
      </c>
      <c r="G34" s="13">
        <v>24100</v>
      </c>
      <c r="H34" s="11" t="s">
        <v>17</v>
      </c>
      <c r="I34" s="11" t="s">
        <v>244</v>
      </c>
      <c r="J34" s="11" t="s">
        <v>80</v>
      </c>
      <c r="K34" s="11" t="s">
        <v>245</v>
      </c>
      <c r="L34" s="11" t="s">
        <v>36</v>
      </c>
      <c r="M34" s="11" t="s">
        <v>130</v>
      </c>
      <c r="N34" s="11" t="s">
        <v>125</v>
      </c>
    </row>
    <row r="35" spans="1:14" ht="15" customHeight="1" x14ac:dyDescent="0.25">
      <c r="A35" s="11">
        <v>39</v>
      </c>
      <c r="B35" s="11" t="s">
        <v>246</v>
      </c>
      <c r="C35" s="11" t="s">
        <v>247</v>
      </c>
      <c r="D35" s="11" t="s">
        <v>60</v>
      </c>
      <c r="E35" s="11">
        <v>2025</v>
      </c>
      <c r="F35" s="12">
        <v>116900</v>
      </c>
      <c r="G35" s="13">
        <v>0</v>
      </c>
      <c r="H35" s="11" t="s">
        <v>13</v>
      </c>
      <c r="I35" s="11" t="s">
        <v>248</v>
      </c>
      <c r="J35" s="11" t="s">
        <v>93</v>
      </c>
      <c r="K35" s="11" t="s">
        <v>249</v>
      </c>
      <c r="L35" s="11" t="s">
        <v>40</v>
      </c>
      <c r="M35" s="11" t="s">
        <v>130</v>
      </c>
      <c r="N35" s="11" t="s">
        <v>130</v>
      </c>
    </row>
    <row r="36" spans="1:14" ht="15" customHeight="1" x14ac:dyDescent="0.25">
      <c r="A36" s="11">
        <v>40</v>
      </c>
      <c r="B36" s="11" t="s">
        <v>250</v>
      </c>
      <c r="C36" s="11" t="s">
        <v>251</v>
      </c>
      <c r="D36" s="11" t="s">
        <v>61</v>
      </c>
      <c r="E36" s="11">
        <v>2024</v>
      </c>
      <c r="F36" s="12">
        <v>112000</v>
      </c>
      <c r="G36" s="13">
        <v>10</v>
      </c>
      <c r="H36" s="11" t="s">
        <v>19</v>
      </c>
      <c r="I36" s="11" t="s">
        <v>252</v>
      </c>
      <c r="J36" s="11" t="s">
        <v>98</v>
      </c>
      <c r="K36" s="11" t="s">
        <v>253</v>
      </c>
      <c r="L36" s="11" t="s">
        <v>36</v>
      </c>
      <c r="M36" s="11" t="s">
        <v>130</v>
      </c>
      <c r="N36" s="11" t="s">
        <v>130</v>
      </c>
    </row>
    <row r="37" spans="1:14" ht="15" customHeight="1" x14ac:dyDescent="0.25">
      <c r="A37" s="11">
        <v>41</v>
      </c>
      <c r="B37" s="11" t="s">
        <v>254</v>
      </c>
      <c r="C37" s="11" t="s">
        <v>255</v>
      </c>
      <c r="D37" s="11" t="s">
        <v>63</v>
      </c>
      <c r="E37" s="11">
        <v>2021</v>
      </c>
      <c r="F37" s="12">
        <v>74000</v>
      </c>
      <c r="G37" s="13">
        <v>31000</v>
      </c>
      <c r="H37" s="11" t="s">
        <v>27</v>
      </c>
      <c r="I37" s="11" t="s">
        <v>256</v>
      </c>
      <c r="J37" s="11" t="s">
        <v>89</v>
      </c>
      <c r="K37" s="11" t="s">
        <v>257</v>
      </c>
      <c r="L37" s="11" t="s">
        <v>42</v>
      </c>
      <c r="M37" s="11" t="s">
        <v>130</v>
      </c>
      <c r="N37" s="11" t="s">
        <v>130</v>
      </c>
    </row>
    <row r="38" spans="1:14" ht="15" customHeight="1" x14ac:dyDescent="0.25">
      <c r="A38" s="11">
        <v>42</v>
      </c>
      <c r="B38" s="11" t="s">
        <v>258</v>
      </c>
      <c r="C38" s="11" t="s">
        <v>259</v>
      </c>
      <c r="D38" s="11" t="s">
        <v>68</v>
      </c>
      <c r="E38" s="11">
        <v>2024</v>
      </c>
      <c r="F38" s="12">
        <v>198300</v>
      </c>
      <c r="G38" s="13">
        <v>2400</v>
      </c>
      <c r="H38" s="11" t="s">
        <v>13</v>
      </c>
      <c r="I38" s="11" t="s">
        <v>260</v>
      </c>
      <c r="J38" s="11" t="s">
        <v>97</v>
      </c>
      <c r="K38" s="11" t="s">
        <v>261</v>
      </c>
      <c r="L38" s="11" t="s">
        <v>44</v>
      </c>
      <c r="M38" s="11" t="s">
        <v>130</v>
      </c>
      <c r="N38" s="11" t="s">
        <v>125</v>
      </c>
    </row>
    <row r="39" spans="1:14" ht="15" customHeight="1" x14ac:dyDescent="0.25">
      <c r="A39" s="11">
        <v>43</v>
      </c>
      <c r="B39" s="11" t="s">
        <v>121</v>
      </c>
      <c r="C39" s="11" t="s">
        <v>262</v>
      </c>
      <c r="D39" s="11" t="s">
        <v>24</v>
      </c>
      <c r="E39" s="11">
        <v>2023</v>
      </c>
      <c r="F39" s="12">
        <v>103750</v>
      </c>
      <c r="G39" s="13">
        <v>6773</v>
      </c>
      <c r="H39" s="11" t="s">
        <v>13</v>
      </c>
      <c r="I39" s="11" t="s">
        <v>263</v>
      </c>
      <c r="J39" s="11" t="s">
        <v>77</v>
      </c>
      <c r="K39" s="11" t="s">
        <v>264</v>
      </c>
      <c r="L39" s="11" t="s">
        <v>46</v>
      </c>
      <c r="M39" s="11" t="s">
        <v>125</v>
      </c>
      <c r="N39" s="11" t="s">
        <v>130</v>
      </c>
    </row>
    <row r="40" spans="1:14" ht="15" customHeight="1" x14ac:dyDescent="0.25">
      <c r="A40" s="11">
        <v>44</v>
      </c>
      <c r="B40" s="11" t="s">
        <v>121</v>
      </c>
      <c r="C40" s="11" t="s">
        <v>265</v>
      </c>
      <c r="D40" s="11" t="s">
        <v>47</v>
      </c>
      <c r="E40" s="11">
        <v>2024</v>
      </c>
      <c r="F40" s="12">
        <v>93600</v>
      </c>
      <c r="G40" s="13">
        <v>5800</v>
      </c>
      <c r="H40" s="11" t="s">
        <v>17</v>
      </c>
      <c r="I40" s="11" t="s">
        <v>266</v>
      </c>
      <c r="J40" s="11" t="s">
        <v>76</v>
      </c>
      <c r="K40" s="11" t="s">
        <v>267</v>
      </c>
      <c r="L40" s="11" t="s">
        <v>48</v>
      </c>
      <c r="M40" s="11" t="s">
        <v>125</v>
      </c>
      <c r="N40" s="11" t="s">
        <v>130</v>
      </c>
    </row>
    <row r="41" spans="1:14" ht="15" customHeight="1" x14ac:dyDescent="0.25">
      <c r="A41" s="11">
        <v>45</v>
      </c>
      <c r="B41" s="11" t="s">
        <v>268</v>
      </c>
      <c r="C41" s="11" t="s">
        <v>269</v>
      </c>
      <c r="D41" s="11" t="s">
        <v>20</v>
      </c>
      <c r="E41" s="11">
        <v>2025</v>
      </c>
      <c r="F41" s="12">
        <v>129000</v>
      </c>
      <c r="G41" s="13">
        <v>0</v>
      </c>
      <c r="H41" s="11" t="s">
        <v>29</v>
      </c>
      <c r="I41" s="11" t="s">
        <v>270</v>
      </c>
      <c r="J41" s="11" t="s">
        <v>84</v>
      </c>
      <c r="K41" s="11" t="s">
        <v>271</v>
      </c>
      <c r="L41" s="11" t="s">
        <v>40</v>
      </c>
      <c r="M41" s="11" t="s">
        <v>130</v>
      </c>
      <c r="N41" s="11" t="s">
        <v>130</v>
      </c>
    </row>
    <row r="42" spans="1:14" ht="15" customHeight="1" x14ac:dyDescent="0.25">
      <c r="A42" s="11">
        <v>46</v>
      </c>
      <c r="B42" s="11" t="s">
        <v>272</v>
      </c>
      <c r="C42" s="11" t="s">
        <v>273</v>
      </c>
      <c r="D42" s="11" t="s">
        <v>51</v>
      </c>
      <c r="E42" s="11">
        <v>2022</v>
      </c>
      <c r="F42" s="12">
        <v>136000</v>
      </c>
      <c r="G42" s="13">
        <v>18400</v>
      </c>
      <c r="H42" s="11" t="s">
        <v>15</v>
      </c>
      <c r="I42" s="11" t="s">
        <v>274</v>
      </c>
      <c r="J42" s="11" t="s">
        <v>86</v>
      </c>
      <c r="K42" s="11" t="s">
        <v>275</v>
      </c>
      <c r="L42" s="11" t="s">
        <v>36</v>
      </c>
      <c r="M42" s="11" t="s">
        <v>130</v>
      </c>
      <c r="N42" s="11" t="s">
        <v>130</v>
      </c>
    </row>
    <row r="43" spans="1:14" ht="15" customHeight="1" x14ac:dyDescent="0.25">
      <c r="A43" s="11">
        <v>47</v>
      </c>
      <c r="B43" s="11" t="s">
        <v>121</v>
      </c>
      <c r="C43" s="11" t="s">
        <v>276</v>
      </c>
      <c r="D43" s="11" t="s">
        <v>45</v>
      </c>
      <c r="E43" s="11">
        <v>2024</v>
      </c>
      <c r="F43" s="12">
        <v>286500</v>
      </c>
      <c r="G43" s="13">
        <v>700</v>
      </c>
      <c r="H43" s="11" t="s">
        <v>13</v>
      </c>
      <c r="I43" s="11" t="s">
        <v>277</v>
      </c>
      <c r="J43" s="11" t="s">
        <v>75</v>
      </c>
      <c r="K43" s="11" t="s">
        <v>278</v>
      </c>
      <c r="L43" s="11" t="s">
        <v>38</v>
      </c>
      <c r="M43" s="11" t="s">
        <v>125</v>
      </c>
      <c r="N43" s="11" t="s">
        <v>130</v>
      </c>
    </row>
    <row r="44" spans="1:14" ht="15" customHeight="1" x14ac:dyDescent="0.25">
      <c r="A44" s="11">
        <v>48</v>
      </c>
      <c r="B44" s="11" t="s">
        <v>279</v>
      </c>
      <c r="C44" s="11" t="s">
        <v>280</v>
      </c>
      <c r="D44" s="11" t="s">
        <v>30</v>
      </c>
      <c r="E44" s="11">
        <v>2023</v>
      </c>
      <c r="F44" s="12">
        <v>92800</v>
      </c>
      <c r="G44" s="13">
        <v>15000</v>
      </c>
      <c r="H44" s="11" t="s">
        <v>23</v>
      </c>
      <c r="I44" s="11" t="s">
        <v>281</v>
      </c>
      <c r="J44" s="11" t="s">
        <v>76</v>
      </c>
      <c r="K44" s="11" t="s">
        <v>282</v>
      </c>
      <c r="L44" s="11" t="s">
        <v>36</v>
      </c>
      <c r="M44" s="11" t="s">
        <v>130</v>
      </c>
      <c r="N44" s="11" t="s">
        <v>130</v>
      </c>
    </row>
    <row r="45" spans="1:14" ht="15" customHeight="1" x14ac:dyDescent="0.25">
      <c r="A45" s="11">
        <v>49</v>
      </c>
      <c r="B45" s="11" t="s">
        <v>283</v>
      </c>
      <c r="C45" s="11" t="s">
        <v>284</v>
      </c>
      <c r="D45" s="11" t="s">
        <v>41</v>
      </c>
      <c r="E45" s="11">
        <v>2022</v>
      </c>
      <c r="F45" s="12">
        <v>72400</v>
      </c>
      <c r="G45" s="13">
        <v>19750</v>
      </c>
      <c r="H45" s="11" t="s">
        <v>19</v>
      </c>
      <c r="I45" s="11" t="s">
        <v>285</v>
      </c>
      <c r="J45" s="11" t="s">
        <v>77</v>
      </c>
      <c r="K45" s="11" t="s">
        <v>286</v>
      </c>
      <c r="L45" s="11" t="s">
        <v>50</v>
      </c>
      <c r="M45" s="11" t="s">
        <v>130</v>
      </c>
      <c r="N45" s="11" t="s">
        <v>130</v>
      </c>
    </row>
    <row r="46" spans="1:14" ht="15" customHeight="1" x14ac:dyDescent="0.25">
      <c r="A46" s="11">
        <v>50</v>
      </c>
      <c r="B46" s="11" t="s">
        <v>287</v>
      </c>
      <c r="C46" s="11" t="s">
        <v>288</v>
      </c>
      <c r="D46" s="11" t="s">
        <v>22</v>
      </c>
      <c r="E46" s="11">
        <v>2025</v>
      </c>
      <c r="F46" s="12">
        <v>158500</v>
      </c>
      <c r="G46" s="13">
        <v>3200</v>
      </c>
      <c r="H46" s="11" t="s">
        <v>25</v>
      </c>
      <c r="I46" s="11" t="s">
        <v>178</v>
      </c>
      <c r="J46" s="11" t="s">
        <v>82</v>
      </c>
      <c r="K46" s="11" t="s">
        <v>289</v>
      </c>
      <c r="L46" s="11" t="s">
        <v>36</v>
      </c>
      <c r="M46" s="11" t="s">
        <v>130</v>
      </c>
      <c r="N46" s="11" t="s">
        <v>130</v>
      </c>
    </row>
    <row r="47" spans="1:14" ht="15" customHeight="1" x14ac:dyDescent="0.25">
      <c r="A47" s="11">
        <v>51</v>
      </c>
      <c r="B47" s="11" t="s">
        <v>290</v>
      </c>
      <c r="C47" s="11" t="s">
        <v>291</v>
      </c>
      <c r="D47" s="11" t="s">
        <v>62</v>
      </c>
      <c r="E47" s="11">
        <v>2021</v>
      </c>
      <c r="F47" s="12">
        <v>69900</v>
      </c>
      <c r="G47" s="13">
        <v>27600</v>
      </c>
      <c r="H47" s="11" t="s">
        <v>21</v>
      </c>
      <c r="I47" s="11" t="s">
        <v>292</v>
      </c>
      <c r="J47" s="11" t="s">
        <v>76</v>
      </c>
      <c r="K47" s="11" t="s">
        <v>293</v>
      </c>
      <c r="L47" s="11" t="s">
        <v>38</v>
      </c>
      <c r="M47" s="11" t="s">
        <v>130</v>
      </c>
      <c r="N47" s="11" t="s">
        <v>130</v>
      </c>
    </row>
    <row r="48" spans="1:14" ht="15" customHeight="1" x14ac:dyDescent="0.25">
      <c r="A48" s="11">
        <v>52</v>
      </c>
      <c r="B48" s="11" t="s">
        <v>121</v>
      </c>
      <c r="C48" s="11" t="s">
        <v>294</v>
      </c>
      <c r="D48" s="11" t="s">
        <v>49</v>
      </c>
      <c r="E48" s="11">
        <v>2024</v>
      </c>
      <c r="F48" s="12">
        <v>141250</v>
      </c>
      <c r="G48" s="13">
        <v>2100</v>
      </c>
      <c r="H48" s="11" t="s">
        <v>17</v>
      </c>
      <c r="I48" s="11" t="s">
        <v>295</v>
      </c>
      <c r="J48" s="11" t="s">
        <v>76</v>
      </c>
      <c r="K48" s="11" t="s">
        <v>296</v>
      </c>
      <c r="L48" s="11" t="s">
        <v>40</v>
      </c>
      <c r="M48" s="11" t="s">
        <v>125</v>
      </c>
      <c r="N48" s="11" t="s">
        <v>130</v>
      </c>
    </row>
    <row r="49" spans="1:14" ht="15" customHeight="1" x14ac:dyDescent="0.25">
      <c r="A49" s="11">
        <v>53</v>
      </c>
      <c r="B49" s="11" t="s">
        <v>297</v>
      </c>
      <c r="C49" s="11" t="s">
        <v>298</v>
      </c>
      <c r="D49" s="11" t="s">
        <v>39</v>
      </c>
      <c r="E49" s="11">
        <v>2020</v>
      </c>
      <c r="F49" s="12">
        <v>71500</v>
      </c>
      <c r="G49" s="13">
        <v>52000</v>
      </c>
      <c r="H49" s="11" t="s">
        <v>13</v>
      </c>
      <c r="I49" s="11" t="s">
        <v>299</v>
      </c>
      <c r="J49" s="11" t="s">
        <v>94</v>
      </c>
      <c r="K49" s="11" t="s">
        <v>300</v>
      </c>
      <c r="L49" s="11" t="s">
        <v>36</v>
      </c>
      <c r="M49" s="11" t="s">
        <v>130</v>
      </c>
      <c r="N49" s="11" t="s">
        <v>130</v>
      </c>
    </row>
    <row r="50" spans="1:14" ht="15" customHeight="1" x14ac:dyDescent="0.25">
      <c r="A50" s="11">
        <v>54</v>
      </c>
      <c r="B50" s="11" t="s">
        <v>301</v>
      </c>
      <c r="C50" s="11" t="s">
        <v>302</v>
      </c>
      <c r="D50" s="11" t="s">
        <v>70</v>
      </c>
      <c r="E50" s="11">
        <v>2023</v>
      </c>
      <c r="F50" s="12">
        <v>146800</v>
      </c>
      <c r="G50" s="13">
        <v>11300</v>
      </c>
      <c r="H50" s="11" t="s">
        <v>15</v>
      </c>
      <c r="I50" s="11" t="s">
        <v>303</v>
      </c>
      <c r="J50" s="11" t="s">
        <v>85</v>
      </c>
      <c r="K50" s="11" t="s">
        <v>304</v>
      </c>
      <c r="L50" s="11" t="s">
        <v>38</v>
      </c>
      <c r="M50" s="11" t="s">
        <v>130</v>
      </c>
      <c r="N50" s="11" t="s">
        <v>130</v>
      </c>
    </row>
    <row r="51" spans="1:14" ht="15" customHeight="1" x14ac:dyDescent="0.25">
      <c r="A51" s="11">
        <v>55</v>
      </c>
      <c r="B51" s="11" t="s">
        <v>305</v>
      </c>
      <c r="C51" s="11" t="s">
        <v>306</v>
      </c>
      <c r="D51" s="11" t="s">
        <v>31</v>
      </c>
      <c r="E51" s="11">
        <v>2025</v>
      </c>
      <c r="F51" s="12">
        <v>89700</v>
      </c>
      <c r="G51" s="13">
        <v>0</v>
      </c>
      <c r="H51" s="11" t="s">
        <v>23</v>
      </c>
      <c r="I51" s="11" t="s">
        <v>307</v>
      </c>
      <c r="J51" s="11" t="s">
        <v>83</v>
      </c>
      <c r="K51" s="11" t="s">
        <v>308</v>
      </c>
      <c r="L51" s="11" t="s">
        <v>36</v>
      </c>
      <c r="M51" s="11" t="s">
        <v>130</v>
      </c>
      <c r="N51" s="11" t="s">
        <v>130</v>
      </c>
    </row>
    <row r="52" spans="1:14" ht="15" customHeight="1" x14ac:dyDescent="0.25">
      <c r="A52" s="11">
        <v>56</v>
      </c>
      <c r="B52" s="11" t="s">
        <v>309</v>
      </c>
      <c r="C52" s="11" t="s">
        <v>310</v>
      </c>
      <c r="D52" s="11" t="s">
        <v>67</v>
      </c>
      <c r="E52" s="11">
        <v>2022</v>
      </c>
      <c r="F52" s="12">
        <v>104600</v>
      </c>
      <c r="G52" s="13">
        <v>15900</v>
      </c>
      <c r="H52" s="11" t="s">
        <v>21</v>
      </c>
      <c r="I52" s="11" t="s">
        <v>311</v>
      </c>
      <c r="J52" s="11" t="s">
        <v>105</v>
      </c>
      <c r="K52" s="11" t="s">
        <v>312</v>
      </c>
      <c r="L52" s="11" t="s">
        <v>42</v>
      </c>
      <c r="M52" s="11" t="s">
        <v>130</v>
      </c>
      <c r="N52" s="11" t="s">
        <v>130</v>
      </c>
    </row>
    <row r="53" spans="1:14" ht="15" customHeight="1" x14ac:dyDescent="0.25">
      <c r="A53" s="11">
        <v>57</v>
      </c>
      <c r="B53" s="11" t="s">
        <v>121</v>
      </c>
      <c r="C53" s="11" t="s">
        <v>313</v>
      </c>
      <c r="D53" s="11" t="s">
        <v>28</v>
      </c>
      <c r="E53" s="11">
        <v>2024</v>
      </c>
      <c r="F53" s="12">
        <v>142000</v>
      </c>
      <c r="G53" s="13">
        <v>6600</v>
      </c>
      <c r="H53" s="11" t="s">
        <v>13</v>
      </c>
      <c r="I53" s="11" t="s">
        <v>314</v>
      </c>
      <c r="J53" s="11" t="s">
        <v>76</v>
      </c>
      <c r="K53" s="11" t="s">
        <v>205</v>
      </c>
      <c r="L53" s="11" t="s">
        <v>36</v>
      </c>
      <c r="M53" s="11" t="s">
        <v>125</v>
      </c>
      <c r="N53" s="11" t="s">
        <v>130</v>
      </c>
    </row>
    <row r="54" spans="1:14" ht="15" customHeight="1" x14ac:dyDescent="0.25">
      <c r="A54" s="11">
        <v>58</v>
      </c>
      <c r="B54" s="11" t="s">
        <v>315</v>
      </c>
      <c r="C54" s="11" t="s">
        <v>316</v>
      </c>
      <c r="D54" s="11" t="s">
        <v>59</v>
      </c>
      <c r="E54" s="11">
        <v>2021</v>
      </c>
      <c r="F54" s="12">
        <v>78400</v>
      </c>
      <c r="G54" s="13">
        <v>40250</v>
      </c>
      <c r="H54" s="11" t="s">
        <v>19</v>
      </c>
      <c r="I54" s="11" t="s">
        <v>317</v>
      </c>
      <c r="J54" s="11" t="s">
        <v>78</v>
      </c>
      <c r="K54" s="11" t="s">
        <v>318</v>
      </c>
      <c r="L54" s="11" t="s">
        <v>54</v>
      </c>
      <c r="M54" s="11" t="s">
        <v>130</v>
      </c>
      <c r="N54" s="11" t="s">
        <v>130</v>
      </c>
    </row>
    <row r="55" spans="1:14" ht="15" customHeight="1" x14ac:dyDescent="0.25">
      <c r="A55" s="11">
        <v>59</v>
      </c>
      <c r="B55" s="11" t="s">
        <v>121</v>
      </c>
      <c r="C55" s="11" t="s">
        <v>319</v>
      </c>
      <c r="D55" s="11" t="s">
        <v>35</v>
      </c>
      <c r="E55" s="11">
        <v>2025</v>
      </c>
      <c r="F55" s="12">
        <v>169000</v>
      </c>
      <c r="G55" s="13">
        <v>850</v>
      </c>
      <c r="H55" s="11" t="s">
        <v>17</v>
      </c>
      <c r="I55" s="11" t="s">
        <v>320</v>
      </c>
      <c r="J55" s="11" t="s">
        <v>99</v>
      </c>
      <c r="K55" s="11" t="s">
        <v>321</v>
      </c>
      <c r="L55" s="11" t="s">
        <v>40</v>
      </c>
      <c r="M55" s="11" t="s">
        <v>125</v>
      </c>
      <c r="N55" s="11" t="s">
        <v>130</v>
      </c>
    </row>
    <row r="56" spans="1:14" ht="15" customHeight="1" x14ac:dyDescent="0.25">
      <c r="A56" s="11">
        <v>60</v>
      </c>
      <c r="B56" s="11" t="s">
        <v>322</v>
      </c>
      <c r="C56" s="11" t="s">
        <v>323</v>
      </c>
      <c r="D56" s="11" t="s">
        <v>12</v>
      </c>
      <c r="E56" s="11">
        <v>2024</v>
      </c>
      <c r="F56" s="12">
        <v>268900</v>
      </c>
      <c r="G56" s="13">
        <v>1400</v>
      </c>
      <c r="H56" s="11" t="s">
        <v>15</v>
      </c>
      <c r="I56" s="11" t="s">
        <v>324</v>
      </c>
      <c r="J56" s="11" t="s">
        <v>76</v>
      </c>
      <c r="K56" s="11" t="s">
        <v>325</v>
      </c>
      <c r="L56" s="11" t="s">
        <v>36</v>
      </c>
      <c r="M56" s="11" t="s">
        <v>130</v>
      </c>
      <c r="N56" s="11" t="s">
        <v>130</v>
      </c>
    </row>
    <row r="57" spans="1:14" ht="15" customHeight="1" x14ac:dyDescent="0.25">
      <c r="A57" s="11">
        <v>61</v>
      </c>
      <c r="B57" s="11" t="s">
        <v>326</v>
      </c>
      <c r="C57" s="11" t="s">
        <v>327</v>
      </c>
      <c r="D57" s="11" t="s">
        <v>65</v>
      </c>
      <c r="E57" s="11">
        <v>2023</v>
      </c>
      <c r="F57" s="12">
        <v>101300</v>
      </c>
      <c r="G57" s="13">
        <v>12700</v>
      </c>
      <c r="H57" s="11" t="s">
        <v>13</v>
      </c>
      <c r="I57" s="11" t="s">
        <v>328</v>
      </c>
      <c r="J57" s="11" t="s">
        <v>75</v>
      </c>
      <c r="K57" s="11" t="s">
        <v>329</v>
      </c>
      <c r="L57" s="11" t="s">
        <v>38</v>
      </c>
      <c r="M57" s="11" t="s">
        <v>130</v>
      </c>
      <c r="N57" s="11" t="s">
        <v>130</v>
      </c>
    </row>
    <row r="58" spans="1:14" ht="15" customHeight="1" x14ac:dyDescent="0.25">
      <c r="A58" s="11">
        <v>62</v>
      </c>
      <c r="B58" s="11" t="s">
        <v>330</v>
      </c>
      <c r="C58" s="11" t="s">
        <v>331</v>
      </c>
      <c r="D58" s="11" t="s">
        <v>66</v>
      </c>
      <c r="E58" s="11">
        <v>2021</v>
      </c>
      <c r="F58" s="12">
        <v>66750</v>
      </c>
      <c r="G58" s="13">
        <v>29800</v>
      </c>
      <c r="H58" s="11" t="s">
        <v>19</v>
      </c>
      <c r="I58" s="11" t="s">
        <v>332</v>
      </c>
      <c r="J58" s="11" t="s">
        <v>98</v>
      </c>
      <c r="K58" s="11" t="s">
        <v>333</v>
      </c>
      <c r="L58" s="11" t="s">
        <v>36</v>
      </c>
      <c r="M58" s="11" t="s">
        <v>130</v>
      </c>
      <c r="N58" s="11" t="s">
        <v>130</v>
      </c>
    </row>
    <row r="59" spans="1:14" ht="15" customHeight="1" x14ac:dyDescent="0.25">
      <c r="A59" s="11">
        <v>63</v>
      </c>
      <c r="B59" s="11" t="s">
        <v>334</v>
      </c>
      <c r="C59" s="11" t="s">
        <v>335</v>
      </c>
      <c r="D59" s="11" t="s">
        <v>57</v>
      </c>
      <c r="E59" s="11">
        <v>2024</v>
      </c>
      <c r="F59" s="12">
        <v>127900</v>
      </c>
      <c r="G59" s="13">
        <v>7500</v>
      </c>
      <c r="H59" s="11" t="s">
        <v>23</v>
      </c>
      <c r="I59" s="11" t="s">
        <v>336</v>
      </c>
      <c r="J59" s="11" t="s">
        <v>96</v>
      </c>
      <c r="K59" s="11" t="s">
        <v>337</v>
      </c>
      <c r="L59" s="11" t="s">
        <v>40</v>
      </c>
      <c r="M59" s="11" t="s">
        <v>130</v>
      </c>
      <c r="N59" s="11" t="s">
        <v>130</v>
      </c>
    </row>
    <row r="60" spans="1:14" ht="15" customHeight="1" x14ac:dyDescent="0.25">
      <c r="A60" s="11">
        <v>64</v>
      </c>
      <c r="B60" s="11" t="s">
        <v>338</v>
      </c>
      <c r="C60" s="11" t="s">
        <v>339</v>
      </c>
      <c r="D60" s="11" t="s">
        <v>18</v>
      </c>
      <c r="E60" s="11">
        <v>2025</v>
      </c>
      <c r="F60" s="12">
        <v>200000</v>
      </c>
      <c r="G60" s="13">
        <v>1950</v>
      </c>
      <c r="H60" s="11" t="s">
        <v>13</v>
      </c>
      <c r="I60" s="11" t="s">
        <v>340</v>
      </c>
      <c r="J60" s="11" t="s">
        <v>80</v>
      </c>
      <c r="K60" s="11" t="s">
        <v>341</v>
      </c>
      <c r="L60" s="11" t="s">
        <v>36</v>
      </c>
      <c r="M60" s="11" t="s">
        <v>130</v>
      </c>
      <c r="N60" s="11" t="s">
        <v>130</v>
      </c>
    </row>
    <row r="61" spans="1:14" ht="15" customHeight="1" x14ac:dyDescent="0.25">
      <c r="A61" s="11">
        <v>65</v>
      </c>
      <c r="B61" s="11" t="s">
        <v>342</v>
      </c>
      <c r="C61" s="11" t="s">
        <v>343</v>
      </c>
      <c r="D61" s="11" t="s">
        <v>55</v>
      </c>
      <c r="E61" s="11">
        <v>2023</v>
      </c>
      <c r="F61" s="12">
        <v>132000</v>
      </c>
      <c r="G61" s="13">
        <v>8800</v>
      </c>
      <c r="H61" s="11" t="s">
        <v>25</v>
      </c>
      <c r="I61" s="11" t="s">
        <v>344</v>
      </c>
      <c r="J61" s="11" t="s">
        <v>103</v>
      </c>
      <c r="K61" s="11" t="s">
        <v>345</v>
      </c>
      <c r="L61" s="11" t="s">
        <v>52</v>
      </c>
      <c r="M61" s="11" t="s">
        <v>130</v>
      </c>
      <c r="N61" s="11" t="s">
        <v>130</v>
      </c>
    </row>
    <row r="62" spans="1:14" ht="15" customHeight="1" x14ac:dyDescent="0.25">
      <c r="A62" s="11">
        <v>66</v>
      </c>
      <c r="B62" s="11" t="s">
        <v>346</v>
      </c>
      <c r="C62" s="11" t="s">
        <v>347</v>
      </c>
      <c r="D62" s="11" t="s">
        <v>33</v>
      </c>
      <c r="E62" s="11">
        <v>2024</v>
      </c>
      <c r="F62" s="12">
        <v>176400</v>
      </c>
      <c r="G62" s="13">
        <v>600</v>
      </c>
      <c r="H62" s="11" t="s">
        <v>15</v>
      </c>
      <c r="I62" s="11" t="s">
        <v>348</v>
      </c>
      <c r="J62" s="11" t="s">
        <v>75</v>
      </c>
      <c r="K62" s="11" t="s">
        <v>349</v>
      </c>
      <c r="L62" s="11" t="s">
        <v>36</v>
      </c>
      <c r="M62" s="11" t="s">
        <v>130</v>
      </c>
      <c r="N62" s="11" t="s">
        <v>130</v>
      </c>
    </row>
    <row r="63" spans="1:14" ht="15" customHeight="1" x14ac:dyDescent="0.25">
      <c r="A63" s="11">
        <v>67</v>
      </c>
      <c r="B63" s="11" t="s">
        <v>121</v>
      </c>
      <c r="C63" s="11" t="s">
        <v>350</v>
      </c>
      <c r="D63" s="11" t="s">
        <v>64</v>
      </c>
      <c r="E63" s="11">
        <v>2022</v>
      </c>
      <c r="F63" s="12">
        <v>108500</v>
      </c>
      <c r="G63" s="13">
        <v>16200</v>
      </c>
      <c r="H63" s="11" t="s">
        <v>21</v>
      </c>
      <c r="I63" s="11" t="s">
        <v>351</v>
      </c>
      <c r="J63" s="11" t="s">
        <v>95</v>
      </c>
      <c r="K63" s="11" t="s">
        <v>352</v>
      </c>
      <c r="L63" s="11" t="s">
        <v>42</v>
      </c>
      <c r="M63" s="11" t="s">
        <v>125</v>
      </c>
      <c r="N63" s="11" t="s">
        <v>130</v>
      </c>
    </row>
    <row r="64" spans="1:14" ht="15" customHeight="1" x14ac:dyDescent="0.25">
      <c r="A64" s="11">
        <v>68</v>
      </c>
      <c r="B64" s="11" t="s">
        <v>353</v>
      </c>
      <c r="C64" s="11" t="s">
        <v>354</v>
      </c>
      <c r="D64" s="11" t="s">
        <v>69</v>
      </c>
      <c r="E64" s="11">
        <v>2021</v>
      </c>
      <c r="F64" s="12">
        <v>59000</v>
      </c>
      <c r="G64" s="13">
        <v>36000</v>
      </c>
      <c r="H64" s="11" t="s">
        <v>17</v>
      </c>
      <c r="I64" s="11" t="s">
        <v>355</v>
      </c>
      <c r="J64" s="11" t="s">
        <v>81</v>
      </c>
      <c r="K64" s="11" t="s">
        <v>356</v>
      </c>
      <c r="L64" s="11" t="s">
        <v>44</v>
      </c>
      <c r="M64" s="11" t="s">
        <v>130</v>
      </c>
      <c r="N64" s="11" t="s">
        <v>130</v>
      </c>
    </row>
    <row r="65" spans="1:14" ht="15" customHeight="1" x14ac:dyDescent="0.25">
      <c r="A65" s="11">
        <v>69</v>
      </c>
      <c r="B65" s="11" t="s">
        <v>357</v>
      </c>
      <c r="C65" s="11" t="s">
        <v>358</v>
      </c>
      <c r="D65" s="11" t="s">
        <v>26</v>
      </c>
      <c r="E65" s="11">
        <v>2025</v>
      </c>
      <c r="F65" s="12">
        <v>218000</v>
      </c>
      <c r="G65" s="13">
        <v>0</v>
      </c>
      <c r="H65" s="11" t="s">
        <v>13</v>
      </c>
      <c r="I65" s="11" t="s">
        <v>359</v>
      </c>
      <c r="J65" s="11" t="s">
        <v>89</v>
      </c>
      <c r="K65" s="11" t="s">
        <v>360</v>
      </c>
      <c r="L65" s="11" t="s">
        <v>38</v>
      </c>
      <c r="M65" s="11" t="s">
        <v>130</v>
      </c>
      <c r="N65" s="11" t="s">
        <v>130</v>
      </c>
    </row>
    <row r="66" spans="1:14" ht="15" customHeight="1" x14ac:dyDescent="0.25">
      <c r="A66" s="11">
        <v>70</v>
      </c>
      <c r="B66" s="11" t="s">
        <v>121</v>
      </c>
      <c r="C66" s="11" t="s">
        <v>361</v>
      </c>
      <c r="D66" s="11" t="s">
        <v>43</v>
      </c>
      <c r="E66" s="11">
        <v>2024</v>
      </c>
      <c r="F66" s="12">
        <v>99950</v>
      </c>
      <c r="G66" s="13">
        <v>5300</v>
      </c>
      <c r="H66" s="11" t="s">
        <v>27</v>
      </c>
      <c r="I66" s="11" t="s">
        <v>362</v>
      </c>
      <c r="J66" s="11" t="s">
        <v>95</v>
      </c>
      <c r="K66" s="11" t="s">
        <v>363</v>
      </c>
      <c r="L66" s="11" t="s">
        <v>36</v>
      </c>
      <c r="M66" s="11" t="s">
        <v>125</v>
      </c>
      <c r="N66" s="11" t="s">
        <v>130</v>
      </c>
    </row>
    <row r="67" spans="1:14" ht="15" customHeight="1" x14ac:dyDescent="0.25">
      <c r="A67" s="11">
        <v>71</v>
      </c>
      <c r="B67" s="11" t="s">
        <v>315</v>
      </c>
      <c r="C67" s="11" t="s">
        <v>364</v>
      </c>
      <c r="D67" s="11" t="s">
        <v>58</v>
      </c>
      <c r="E67" s="11">
        <v>2024</v>
      </c>
      <c r="F67" s="12">
        <v>121750</v>
      </c>
      <c r="G67" s="13">
        <v>5872</v>
      </c>
      <c r="H67" s="11" t="s">
        <v>15</v>
      </c>
      <c r="I67" s="11" t="s">
        <v>365</v>
      </c>
      <c r="J67" s="11" t="s">
        <v>77</v>
      </c>
      <c r="K67" s="11" t="s">
        <v>366</v>
      </c>
      <c r="L67" s="11" t="s">
        <v>36</v>
      </c>
      <c r="M67" s="11" t="s">
        <v>130</v>
      </c>
      <c r="N67" s="11" t="s">
        <v>130</v>
      </c>
    </row>
    <row r="68" spans="1:14" ht="15" customHeight="1" x14ac:dyDescent="0.25">
      <c r="A68" s="11">
        <v>72</v>
      </c>
      <c r="B68" s="11" t="s">
        <v>367</v>
      </c>
      <c r="C68" s="11" t="s">
        <v>368</v>
      </c>
      <c r="D68" s="11" t="s">
        <v>71</v>
      </c>
      <c r="E68" s="11">
        <v>2023</v>
      </c>
      <c r="F68" s="12">
        <v>91500</v>
      </c>
      <c r="G68" s="13">
        <v>13300</v>
      </c>
      <c r="H68" s="11" t="s">
        <v>23</v>
      </c>
      <c r="I68" s="11" t="s">
        <v>369</v>
      </c>
      <c r="J68" s="11" t="s">
        <v>78</v>
      </c>
      <c r="K68" s="11" t="s">
        <v>370</v>
      </c>
      <c r="L68" s="11" t="s">
        <v>48</v>
      </c>
      <c r="M68" s="11" t="s">
        <v>130</v>
      </c>
      <c r="N68" s="11" t="s">
        <v>130</v>
      </c>
    </row>
    <row r="69" spans="1:14" ht="15" customHeight="1" x14ac:dyDescent="0.25">
      <c r="A69" s="11">
        <v>73</v>
      </c>
      <c r="B69" s="11" t="s">
        <v>371</v>
      </c>
      <c r="C69" s="11" t="s">
        <v>372</v>
      </c>
      <c r="D69" s="11" t="s">
        <v>53</v>
      </c>
      <c r="E69" s="11">
        <v>2022</v>
      </c>
      <c r="F69" s="12">
        <v>134000</v>
      </c>
      <c r="G69" s="13">
        <v>20100</v>
      </c>
      <c r="H69" s="11" t="s">
        <v>13</v>
      </c>
      <c r="I69" s="11" t="s">
        <v>373</v>
      </c>
      <c r="J69" s="11" t="s">
        <v>91</v>
      </c>
      <c r="K69" s="11" t="s">
        <v>164</v>
      </c>
      <c r="L69" s="11" t="s">
        <v>40</v>
      </c>
      <c r="M69" s="11" t="s">
        <v>130</v>
      </c>
      <c r="N69" s="11" t="s">
        <v>130</v>
      </c>
    </row>
    <row r="70" spans="1:14" ht="15" customHeight="1" x14ac:dyDescent="0.25">
      <c r="A70" s="11">
        <v>74</v>
      </c>
      <c r="B70" s="11" t="s">
        <v>374</v>
      </c>
      <c r="C70" s="11" t="s">
        <v>375</v>
      </c>
      <c r="D70" s="11" t="s">
        <v>47</v>
      </c>
      <c r="E70" s="11">
        <v>2024</v>
      </c>
      <c r="F70" s="12">
        <v>96800</v>
      </c>
      <c r="G70" s="13">
        <v>0</v>
      </c>
      <c r="H70" s="11" t="s">
        <v>29</v>
      </c>
      <c r="I70" s="11" t="s">
        <v>376</v>
      </c>
      <c r="J70" s="11" t="s">
        <v>81</v>
      </c>
      <c r="K70" s="11" t="s">
        <v>167</v>
      </c>
      <c r="L70" s="11" t="s">
        <v>36</v>
      </c>
      <c r="M70" s="11" t="s">
        <v>130</v>
      </c>
      <c r="N70" s="11" t="s">
        <v>130</v>
      </c>
    </row>
    <row r="71" spans="1:14" ht="15" customHeight="1" x14ac:dyDescent="0.25">
      <c r="A71" s="11">
        <v>75</v>
      </c>
      <c r="B71" s="11" t="s">
        <v>377</v>
      </c>
      <c r="C71" s="11" t="s">
        <v>378</v>
      </c>
      <c r="D71" s="11" t="s">
        <v>20</v>
      </c>
      <c r="E71" s="11">
        <v>2025</v>
      </c>
      <c r="F71" s="12">
        <v>131600</v>
      </c>
      <c r="G71" s="13">
        <v>2900</v>
      </c>
      <c r="H71" s="11" t="s">
        <v>13</v>
      </c>
      <c r="I71" s="11" t="s">
        <v>379</v>
      </c>
      <c r="J71" s="11" t="s">
        <v>75</v>
      </c>
      <c r="K71" s="11" t="s">
        <v>171</v>
      </c>
      <c r="L71" s="11" t="s">
        <v>46</v>
      </c>
      <c r="M71" s="11" t="s">
        <v>130</v>
      </c>
      <c r="N71" s="11" t="s">
        <v>130</v>
      </c>
    </row>
    <row r="72" spans="1:14" ht="15" customHeight="1" x14ac:dyDescent="0.25">
      <c r="A72" s="11">
        <v>76</v>
      </c>
      <c r="B72" s="11" t="s">
        <v>380</v>
      </c>
      <c r="C72" s="11" t="s">
        <v>381</v>
      </c>
      <c r="D72" s="11" t="s">
        <v>30</v>
      </c>
      <c r="E72" s="11">
        <v>2023</v>
      </c>
      <c r="F72" s="12">
        <v>94300</v>
      </c>
      <c r="G72" s="13">
        <v>13100</v>
      </c>
      <c r="H72" s="11" t="s">
        <v>19</v>
      </c>
      <c r="I72" s="11" t="s">
        <v>382</v>
      </c>
      <c r="J72" s="11" t="s">
        <v>93</v>
      </c>
      <c r="K72" s="11" t="s">
        <v>175</v>
      </c>
      <c r="L72" s="11" t="s">
        <v>36</v>
      </c>
      <c r="M72" s="11" t="s">
        <v>130</v>
      </c>
      <c r="N72" s="11" t="s">
        <v>130</v>
      </c>
    </row>
    <row r="73" spans="1:14" ht="15" customHeight="1" x14ac:dyDescent="0.25">
      <c r="A73" s="11">
        <v>77</v>
      </c>
      <c r="B73" s="11" t="s">
        <v>383</v>
      </c>
      <c r="C73" s="11" t="s">
        <v>384</v>
      </c>
      <c r="D73" s="11" t="s">
        <v>14</v>
      </c>
      <c r="E73" s="11">
        <v>2025</v>
      </c>
      <c r="F73" s="12">
        <v>242000</v>
      </c>
      <c r="G73" s="13">
        <v>1100</v>
      </c>
      <c r="H73" s="11" t="s">
        <v>25</v>
      </c>
      <c r="I73" s="11" t="s">
        <v>385</v>
      </c>
      <c r="J73" s="11" t="s">
        <v>75</v>
      </c>
      <c r="K73" s="11" t="s">
        <v>179</v>
      </c>
      <c r="L73" s="11" t="s">
        <v>50</v>
      </c>
      <c r="M73" s="11" t="s">
        <v>130</v>
      </c>
      <c r="N73" s="11" t="s">
        <v>130</v>
      </c>
    </row>
    <row r="74" spans="1:14" ht="15" customHeight="1" x14ac:dyDescent="0.25">
      <c r="A74" s="11">
        <v>78</v>
      </c>
      <c r="B74" s="11" t="s">
        <v>386</v>
      </c>
      <c r="C74" s="11" t="s">
        <v>387</v>
      </c>
      <c r="D74" s="11" t="s">
        <v>72</v>
      </c>
      <c r="E74" s="11">
        <v>2022</v>
      </c>
      <c r="F74" s="12">
        <v>82750</v>
      </c>
      <c r="G74" s="13">
        <v>22500</v>
      </c>
      <c r="H74" s="11" t="s">
        <v>15</v>
      </c>
      <c r="I74" s="11" t="s">
        <v>388</v>
      </c>
      <c r="J74" s="11" t="s">
        <v>80</v>
      </c>
      <c r="K74" s="11" t="s">
        <v>183</v>
      </c>
      <c r="L74" s="11" t="s">
        <v>42</v>
      </c>
      <c r="M74" s="11" t="s">
        <v>130</v>
      </c>
      <c r="N74" s="11" t="s">
        <v>130</v>
      </c>
    </row>
    <row r="75" spans="1:14" ht="15" customHeight="1" x14ac:dyDescent="0.25">
      <c r="A75" s="11">
        <v>79</v>
      </c>
      <c r="B75" s="11" t="s">
        <v>389</v>
      </c>
      <c r="C75" s="11" t="s">
        <v>390</v>
      </c>
      <c r="D75" s="11" t="s">
        <v>31</v>
      </c>
      <c r="E75" s="11">
        <v>2026</v>
      </c>
      <c r="F75" s="12">
        <v>91300</v>
      </c>
      <c r="G75" s="13">
        <v>0</v>
      </c>
      <c r="H75" s="11" t="s">
        <v>13</v>
      </c>
      <c r="I75" s="11" t="s">
        <v>391</v>
      </c>
      <c r="J75" s="11" t="s">
        <v>76</v>
      </c>
      <c r="K75" s="11" t="s">
        <v>186</v>
      </c>
      <c r="L75" s="11" t="s">
        <v>36</v>
      </c>
      <c r="M75" s="11" t="s">
        <v>130</v>
      </c>
      <c r="N75" s="11" t="s">
        <v>130</v>
      </c>
    </row>
    <row r="76" spans="1:14" ht="15" customHeight="1" x14ac:dyDescent="0.25">
      <c r="A76" s="11">
        <v>80</v>
      </c>
      <c r="B76" s="11" t="s">
        <v>392</v>
      </c>
      <c r="C76" s="11" t="s">
        <v>393</v>
      </c>
      <c r="D76" s="11" t="s">
        <v>39</v>
      </c>
      <c r="E76" s="11">
        <v>2021</v>
      </c>
      <c r="F76" s="12">
        <v>79900</v>
      </c>
      <c r="G76" s="13">
        <v>44800</v>
      </c>
      <c r="H76" s="11" t="s">
        <v>17</v>
      </c>
      <c r="I76" s="11" t="s">
        <v>394</v>
      </c>
      <c r="J76" s="11" t="s">
        <v>75</v>
      </c>
      <c r="K76" s="11" t="s">
        <v>190</v>
      </c>
      <c r="L76" s="11" t="s">
        <v>38</v>
      </c>
      <c r="M76" s="11" t="s">
        <v>130</v>
      </c>
      <c r="N76" s="11" t="s">
        <v>130</v>
      </c>
    </row>
    <row r="77" spans="1:14" ht="15" customHeight="1" x14ac:dyDescent="0.25">
      <c r="A77" s="11">
        <v>81</v>
      </c>
      <c r="B77" s="11" t="s">
        <v>121</v>
      </c>
      <c r="C77" s="11" t="s">
        <v>395</v>
      </c>
      <c r="D77" s="11" t="s">
        <v>24</v>
      </c>
      <c r="E77" s="11">
        <v>2024</v>
      </c>
      <c r="F77" s="12">
        <v>111000</v>
      </c>
      <c r="G77" s="13">
        <v>6700</v>
      </c>
      <c r="H77" s="11" t="s">
        <v>21</v>
      </c>
      <c r="I77" s="11" t="s">
        <v>396</v>
      </c>
      <c r="J77" s="11" t="s">
        <v>75</v>
      </c>
      <c r="K77" s="11" t="s">
        <v>193</v>
      </c>
      <c r="L77" s="11" t="s">
        <v>40</v>
      </c>
      <c r="M77" s="11" t="s">
        <v>125</v>
      </c>
      <c r="N77" s="11" t="s">
        <v>130</v>
      </c>
    </row>
    <row r="78" spans="1:14" ht="15" customHeight="1" x14ac:dyDescent="0.25">
      <c r="A78" s="11">
        <v>82</v>
      </c>
      <c r="B78" s="11" t="s">
        <v>397</v>
      </c>
      <c r="C78" s="11" t="s">
        <v>398</v>
      </c>
      <c r="D78" s="11" t="s">
        <v>37</v>
      </c>
      <c r="E78" s="11">
        <v>2023</v>
      </c>
      <c r="F78" s="12">
        <v>156500</v>
      </c>
      <c r="G78" s="13">
        <v>4200</v>
      </c>
      <c r="H78" s="11" t="s">
        <v>19</v>
      </c>
      <c r="I78" s="11" t="s">
        <v>399</v>
      </c>
      <c r="J78" s="11" t="s">
        <v>84</v>
      </c>
      <c r="K78" s="11" t="s">
        <v>197</v>
      </c>
      <c r="L78" s="11" t="s">
        <v>36</v>
      </c>
      <c r="M78" s="11" t="s">
        <v>130</v>
      </c>
      <c r="N78" s="11" t="s">
        <v>130</v>
      </c>
    </row>
    <row r="79" spans="1:14" ht="15" customHeight="1" x14ac:dyDescent="0.25">
      <c r="A79" s="11">
        <v>83</v>
      </c>
      <c r="B79" s="11" t="s">
        <v>400</v>
      </c>
      <c r="C79" s="11" t="s">
        <v>401</v>
      </c>
      <c r="D79" s="11" t="s">
        <v>60</v>
      </c>
      <c r="E79" s="11">
        <v>2025</v>
      </c>
      <c r="F79" s="12">
        <v>119900</v>
      </c>
      <c r="G79" s="13">
        <v>1250</v>
      </c>
      <c r="H79" s="11" t="s">
        <v>23</v>
      </c>
      <c r="I79" s="11" t="s">
        <v>402</v>
      </c>
      <c r="J79" s="11" t="s">
        <v>77</v>
      </c>
      <c r="K79" s="11" t="s">
        <v>201</v>
      </c>
      <c r="L79" s="11" t="s">
        <v>38</v>
      </c>
      <c r="M79" s="11" t="s">
        <v>130</v>
      </c>
      <c r="N79" s="11" t="s">
        <v>130</v>
      </c>
    </row>
    <row r="80" spans="1:14" ht="15" customHeight="1" x14ac:dyDescent="0.25">
      <c r="A80" s="11">
        <v>84</v>
      </c>
      <c r="B80" s="11" t="s">
        <v>121</v>
      </c>
      <c r="C80" s="11" t="s">
        <v>403</v>
      </c>
      <c r="D80" s="11" t="s">
        <v>41</v>
      </c>
      <c r="E80" s="11">
        <v>2022</v>
      </c>
      <c r="F80" s="12">
        <v>73200</v>
      </c>
      <c r="G80" s="13">
        <v>18600</v>
      </c>
      <c r="H80" s="11" t="s">
        <v>13</v>
      </c>
      <c r="I80" s="11" t="s">
        <v>404</v>
      </c>
      <c r="J80" s="11" t="s">
        <v>84</v>
      </c>
      <c r="K80" s="11" t="s">
        <v>205</v>
      </c>
      <c r="L80" s="11" t="s">
        <v>36</v>
      </c>
      <c r="M80" s="11" t="s">
        <v>125</v>
      </c>
      <c r="N80" s="11" t="s">
        <v>130</v>
      </c>
    </row>
    <row r="81" spans="1:14" ht="15" customHeight="1" x14ac:dyDescent="0.25">
      <c r="A81" s="11">
        <v>85</v>
      </c>
      <c r="B81" s="11" t="s">
        <v>405</v>
      </c>
      <c r="C81" s="11" t="s">
        <v>406</v>
      </c>
      <c r="D81" s="11" t="s">
        <v>16</v>
      </c>
      <c r="E81" s="11">
        <v>2024</v>
      </c>
      <c r="F81" s="12">
        <v>224000</v>
      </c>
      <c r="G81" s="13">
        <v>3000</v>
      </c>
      <c r="H81" s="11" t="s">
        <v>13</v>
      </c>
      <c r="I81" s="11" t="s">
        <v>407</v>
      </c>
      <c r="J81" s="11" t="s">
        <v>92</v>
      </c>
      <c r="K81" s="11" t="s">
        <v>208</v>
      </c>
      <c r="L81" s="11" t="s">
        <v>44</v>
      </c>
      <c r="M81" s="11" t="s">
        <v>130</v>
      </c>
      <c r="N81" s="11" t="s">
        <v>130</v>
      </c>
    </row>
    <row r="82" spans="1:14" ht="15" customHeight="1" x14ac:dyDescent="0.25">
      <c r="A82" s="11">
        <v>86</v>
      </c>
      <c r="B82" s="11" t="s">
        <v>408</v>
      </c>
      <c r="C82" s="11" t="s">
        <v>409</v>
      </c>
      <c r="D82" s="11" t="s">
        <v>56</v>
      </c>
      <c r="E82" s="11">
        <v>2024</v>
      </c>
      <c r="F82" s="12">
        <v>126900</v>
      </c>
      <c r="G82" s="13">
        <v>7200</v>
      </c>
      <c r="H82" s="11" t="s">
        <v>15</v>
      </c>
      <c r="I82" s="11" t="s">
        <v>182</v>
      </c>
      <c r="J82" s="11" t="s">
        <v>79</v>
      </c>
      <c r="K82" s="11" t="s">
        <v>410</v>
      </c>
      <c r="L82" s="11" t="s">
        <v>36</v>
      </c>
      <c r="M82" s="11" t="s">
        <v>130</v>
      </c>
      <c r="N82" s="11" t="s">
        <v>130</v>
      </c>
    </row>
    <row r="83" spans="1:14" ht="15" customHeight="1" x14ac:dyDescent="0.25">
      <c r="A83" s="11">
        <v>87</v>
      </c>
      <c r="B83" s="11" t="s">
        <v>411</v>
      </c>
      <c r="C83" s="11" t="s">
        <v>412</v>
      </c>
      <c r="D83" s="11" t="s">
        <v>59</v>
      </c>
      <c r="E83" s="11">
        <v>2023</v>
      </c>
      <c r="F83" s="12">
        <v>84500</v>
      </c>
      <c r="G83" s="13">
        <v>21400</v>
      </c>
      <c r="H83" s="11" t="s">
        <v>21</v>
      </c>
      <c r="I83" s="11" t="s">
        <v>170</v>
      </c>
      <c r="J83" s="11" t="s">
        <v>76</v>
      </c>
      <c r="K83" s="11" t="s">
        <v>413</v>
      </c>
      <c r="L83" s="11" t="s">
        <v>38</v>
      </c>
      <c r="M83" s="11" t="s">
        <v>130</v>
      </c>
      <c r="N83" s="11" t="s">
        <v>130</v>
      </c>
    </row>
    <row r="84" spans="1:14" ht="15" customHeight="1" x14ac:dyDescent="0.25">
      <c r="A84" s="11">
        <v>88</v>
      </c>
      <c r="B84" s="11" t="s">
        <v>414</v>
      </c>
      <c r="C84" s="11" t="s">
        <v>415</v>
      </c>
      <c r="D84" s="11" t="s">
        <v>66</v>
      </c>
      <c r="E84" s="11">
        <v>2022</v>
      </c>
      <c r="F84" s="12">
        <v>69800</v>
      </c>
      <c r="G84" s="13">
        <v>26300</v>
      </c>
      <c r="H84" s="11" t="s">
        <v>17</v>
      </c>
      <c r="I84" s="11" t="s">
        <v>236</v>
      </c>
      <c r="J84" s="11" t="s">
        <v>79</v>
      </c>
      <c r="K84" s="11" t="s">
        <v>134</v>
      </c>
      <c r="L84" s="11" t="s">
        <v>36</v>
      </c>
      <c r="M84" s="11" t="s">
        <v>130</v>
      </c>
      <c r="N84" s="11" t="s">
        <v>125</v>
      </c>
    </row>
    <row r="85" spans="1:14" ht="15" customHeight="1" x14ac:dyDescent="0.25">
      <c r="A85" s="11">
        <v>89</v>
      </c>
      <c r="B85" s="11" t="s">
        <v>121</v>
      </c>
      <c r="C85" s="11" t="s">
        <v>416</v>
      </c>
      <c r="D85" s="11" t="s">
        <v>20</v>
      </c>
      <c r="E85" s="11">
        <v>2025</v>
      </c>
      <c r="F85" s="12">
        <v>132700</v>
      </c>
      <c r="G85" s="13">
        <v>0</v>
      </c>
      <c r="H85" s="11" t="s">
        <v>13</v>
      </c>
      <c r="I85" s="11" t="s">
        <v>136</v>
      </c>
      <c r="J85" s="11" t="s">
        <v>86</v>
      </c>
      <c r="K85" s="11" t="s">
        <v>417</v>
      </c>
      <c r="L85" s="11" t="s">
        <v>40</v>
      </c>
      <c r="M85" s="11" t="s">
        <v>125</v>
      </c>
      <c r="N85" s="11" t="s">
        <v>130</v>
      </c>
    </row>
    <row r="86" spans="1:14" ht="15" customHeight="1" x14ac:dyDescent="0.25">
      <c r="A86" s="11">
        <v>90</v>
      </c>
      <c r="B86" s="11" t="s">
        <v>418</v>
      </c>
      <c r="C86" s="11" t="s">
        <v>419</v>
      </c>
      <c r="D86" s="11" t="s">
        <v>39</v>
      </c>
      <c r="E86" s="11">
        <v>2021</v>
      </c>
      <c r="F86" s="12">
        <v>81000</v>
      </c>
      <c r="G86" s="13">
        <v>42</v>
      </c>
      <c r="H86" s="11" t="s">
        <v>19</v>
      </c>
      <c r="I86" s="11" t="s">
        <v>133</v>
      </c>
      <c r="J86" s="11" t="s">
        <v>75</v>
      </c>
      <c r="K86" s="11" t="s">
        <v>141</v>
      </c>
      <c r="L86" s="11" t="s">
        <v>36</v>
      </c>
      <c r="M86" s="11" t="s">
        <v>130</v>
      </c>
      <c r="N86" s="11" t="s">
        <v>130</v>
      </c>
    </row>
    <row r="87" spans="1:14" ht="15" customHeight="1" x14ac:dyDescent="0.25">
      <c r="A87" s="11">
        <v>91</v>
      </c>
      <c r="B87" s="11" t="s">
        <v>420</v>
      </c>
      <c r="C87" s="11" t="s">
        <v>421</v>
      </c>
      <c r="D87" s="11" t="s">
        <v>62</v>
      </c>
      <c r="E87" s="11">
        <v>2023</v>
      </c>
      <c r="F87" s="12">
        <v>78900</v>
      </c>
      <c r="G87" s="13">
        <v>17500</v>
      </c>
      <c r="H87" s="11" t="s">
        <v>27</v>
      </c>
      <c r="I87" s="11" t="s">
        <v>128</v>
      </c>
      <c r="J87" s="11" t="s">
        <v>88</v>
      </c>
      <c r="K87" s="11" t="s">
        <v>257</v>
      </c>
      <c r="L87" s="11" t="s">
        <v>42</v>
      </c>
      <c r="M87" s="11" t="s">
        <v>130</v>
      </c>
      <c r="N87" s="11" t="s">
        <v>130</v>
      </c>
    </row>
    <row r="88" spans="1:14" ht="15" customHeight="1" x14ac:dyDescent="0.25">
      <c r="A88" s="11">
        <v>92</v>
      </c>
      <c r="B88" s="11" t="s">
        <v>422</v>
      </c>
      <c r="C88" s="11" t="s">
        <v>423</v>
      </c>
      <c r="D88" s="11" t="s">
        <v>14</v>
      </c>
      <c r="E88" s="11">
        <v>2026</v>
      </c>
      <c r="F88" s="12">
        <v>249300</v>
      </c>
      <c r="G88" s="13">
        <v>900</v>
      </c>
      <c r="H88" s="11" t="s">
        <v>13</v>
      </c>
      <c r="I88" s="11" t="s">
        <v>123</v>
      </c>
      <c r="J88" s="11" t="s">
        <v>87</v>
      </c>
      <c r="K88" s="11" t="s">
        <v>424</v>
      </c>
      <c r="L88" s="11" t="s">
        <v>44</v>
      </c>
      <c r="M88" s="11" t="s">
        <v>130</v>
      </c>
      <c r="N88" s="11" t="s">
        <v>130</v>
      </c>
    </row>
    <row r="89" spans="1:14" ht="15" customHeight="1" x14ac:dyDescent="0.25">
      <c r="A89" s="11">
        <v>93</v>
      </c>
      <c r="B89" s="11" t="s">
        <v>121</v>
      </c>
      <c r="C89" s="11" t="s">
        <v>425</v>
      </c>
      <c r="D89" s="11" t="s">
        <v>24</v>
      </c>
      <c r="E89" s="11">
        <v>2024</v>
      </c>
      <c r="F89" s="12">
        <v>108750</v>
      </c>
      <c r="G89" s="13">
        <v>5530</v>
      </c>
      <c r="H89" s="11" t="s">
        <v>13</v>
      </c>
      <c r="I89" s="11" t="s">
        <v>159</v>
      </c>
      <c r="J89" s="11" t="s">
        <v>77</v>
      </c>
      <c r="K89" s="11" t="s">
        <v>264</v>
      </c>
      <c r="L89" s="11" t="s">
        <v>46</v>
      </c>
      <c r="M89" s="11" t="s">
        <v>125</v>
      </c>
      <c r="N89" s="11" t="s">
        <v>130</v>
      </c>
    </row>
    <row r="90" spans="1:14" ht="15" customHeight="1" x14ac:dyDescent="0.25">
      <c r="A90" s="11">
        <v>94</v>
      </c>
      <c r="B90" s="11" t="s">
        <v>121</v>
      </c>
      <c r="C90" s="11" t="s">
        <v>426</v>
      </c>
      <c r="D90" s="11" t="s">
        <v>31</v>
      </c>
      <c r="E90" s="11">
        <v>2026</v>
      </c>
      <c r="F90" s="12">
        <v>92600</v>
      </c>
      <c r="G90" s="13">
        <v>0</v>
      </c>
      <c r="H90" s="11" t="s">
        <v>17</v>
      </c>
      <c r="I90" s="11" t="s">
        <v>155</v>
      </c>
      <c r="J90" s="11" t="s">
        <v>100</v>
      </c>
      <c r="K90" s="11" t="s">
        <v>267</v>
      </c>
      <c r="L90" s="11" t="s">
        <v>48</v>
      </c>
      <c r="M90" s="11" t="s">
        <v>125</v>
      </c>
      <c r="N90" s="11" t="s">
        <v>130</v>
      </c>
    </row>
    <row r="91" spans="1:14" ht="15" customHeight="1" x14ac:dyDescent="0.25">
      <c r="A91" s="11">
        <v>95</v>
      </c>
      <c r="B91" s="11" t="s">
        <v>427</v>
      </c>
      <c r="C91" s="11" t="s">
        <v>428</v>
      </c>
      <c r="D91" s="11" t="s">
        <v>22</v>
      </c>
      <c r="E91" s="11">
        <v>2025</v>
      </c>
      <c r="F91" s="12">
        <v>164000</v>
      </c>
      <c r="G91" s="13">
        <v>0</v>
      </c>
      <c r="H91" s="11" t="s">
        <v>29</v>
      </c>
      <c r="I91" s="11" t="s">
        <v>163</v>
      </c>
      <c r="J91" s="11" t="s">
        <v>75</v>
      </c>
      <c r="K91" s="11" t="s">
        <v>271</v>
      </c>
      <c r="L91" s="11" t="s">
        <v>40</v>
      </c>
      <c r="M91" s="11" t="s">
        <v>130</v>
      </c>
      <c r="N91" s="11" t="s">
        <v>130</v>
      </c>
    </row>
    <row r="92" spans="1:14" ht="15" customHeight="1" x14ac:dyDescent="0.25">
      <c r="A92" s="11">
        <v>96</v>
      </c>
      <c r="B92" s="11" t="s">
        <v>429</v>
      </c>
      <c r="C92" s="11" t="s">
        <v>430</v>
      </c>
      <c r="D92" s="11" t="s">
        <v>61</v>
      </c>
      <c r="E92" s="11">
        <v>2024</v>
      </c>
      <c r="F92" s="12">
        <v>119000</v>
      </c>
      <c r="G92" s="13">
        <v>13400</v>
      </c>
      <c r="H92" s="11" t="s">
        <v>15</v>
      </c>
      <c r="I92" s="11" t="s">
        <v>431</v>
      </c>
      <c r="J92" s="11" t="s">
        <v>76</v>
      </c>
      <c r="K92" s="11" t="s">
        <v>275</v>
      </c>
      <c r="L92" s="11" t="s">
        <v>36</v>
      </c>
      <c r="M92" s="11" t="s">
        <v>130</v>
      </c>
      <c r="N92" s="11" t="s">
        <v>130</v>
      </c>
    </row>
    <row r="93" spans="1:14" ht="15" customHeight="1" x14ac:dyDescent="0.25">
      <c r="A93" s="11">
        <v>97</v>
      </c>
      <c r="B93" s="11" t="s">
        <v>121</v>
      </c>
      <c r="C93" s="11" t="s">
        <v>432</v>
      </c>
      <c r="D93" s="11" t="s">
        <v>16</v>
      </c>
      <c r="E93" s="11">
        <v>2026</v>
      </c>
      <c r="F93" s="12">
        <v>232500</v>
      </c>
      <c r="G93" s="13">
        <v>1700</v>
      </c>
      <c r="H93" s="11" t="s">
        <v>13</v>
      </c>
      <c r="I93" s="11" t="s">
        <v>166</v>
      </c>
      <c r="J93" s="11" t="s">
        <v>78</v>
      </c>
      <c r="K93" s="11" t="s">
        <v>278</v>
      </c>
      <c r="L93" s="11" t="s">
        <v>38</v>
      </c>
      <c r="M93" s="11" t="s">
        <v>125</v>
      </c>
      <c r="N93" s="11" t="s">
        <v>130</v>
      </c>
    </row>
    <row r="94" spans="1:14" ht="15" customHeight="1" x14ac:dyDescent="0.25">
      <c r="A94" s="11">
        <v>98</v>
      </c>
      <c r="B94" s="11" t="s">
        <v>433</v>
      </c>
      <c r="C94" s="11" t="s">
        <v>434</v>
      </c>
      <c r="D94" s="11" t="s">
        <v>30</v>
      </c>
      <c r="E94" s="11">
        <v>2023</v>
      </c>
      <c r="F94" s="12">
        <v>96800</v>
      </c>
      <c r="G94" s="13">
        <v>14000</v>
      </c>
      <c r="H94" s="11" t="s">
        <v>23</v>
      </c>
      <c r="I94" s="11" t="s">
        <v>189</v>
      </c>
      <c r="J94" s="11" t="s">
        <v>81</v>
      </c>
      <c r="K94" s="11" t="s">
        <v>282</v>
      </c>
      <c r="L94" s="11" t="s">
        <v>36</v>
      </c>
      <c r="M94" s="11" t="s">
        <v>130</v>
      </c>
      <c r="N94" s="11" t="s">
        <v>130</v>
      </c>
    </row>
    <row r="95" spans="1:14" ht="15" customHeight="1" x14ac:dyDescent="0.25">
      <c r="A95" s="11">
        <v>99</v>
      </c>
      <c r="B95" s="11" t="s">
        <v>435</v>
      </c>
      <c r="C95" s="11" t="s">
        <v>436</v>
      </c>
      <c r="D95" s="11" t="s">
        <v>41</v>
      </c>
      <c r="E95" s="11">
        <v>2022</v>
      </c>
      <c r="F95" s="12">
        <v>74400</v>
      </c>
      <c r="G95" s="13">
        <v>20750</v>
      </c>
      <c r="H95" s="11" t="s">
        <v>19</v>
      </c>
      <c r="I95" s="11" t="s">
        <v>285</v>
      </c>
      <c r="J95" s="11" t="s">
        <v>77</v>
      </c>
      <c r="K95" s="11" t="s">
        <v>286</v>
      </c>
      <c r="L95" s="11" t="s">
        <v>50</v>
      </c>
      <c r="M95" s="11" t="s">
        <v>130</v>
      </c>
      <c r="N95" s="11" t="s">
        <v>130</v>
      </c>
    </row>
    <row r="96" spans="1:14" ht="15" customHeight="1" x14ac:dyDescent="0.25">
      <c r="A96" s="11">
        <v>100</v>
      </c>
      <c r="B96" s="11" t="s">
        <v>437</v>
      </c>
      <c r="C96" s="11" t="s">
        <v>288</v>
      </c>
      <c r="D96" s="11" t="s">
        <v>28</v>
      </c>
      <c r="E96" s="11">
        <v>2025</v>
      </c>
      <c r="F96" s="12">
        <v>148500</v>
      </c>
      <c r="G96" s="13">
        <v>5200</v>
      </c>
      <c r="H96" s="11" t="s">
        <v>25</v>
      </c>
      <c r="I96" s="11" t="s">
        <v>178</v>
      </c>
      <c r="J96" s="11" t="s">
        <v>82</v>
      </c>
      <c r="K96" s="11" t="s">
        <v>289</v>
      </c>
      <c r="L96" s="11" t="s">
        <v>36</v>
      </c>
      <c r="M96" s="11" t="s">
        <v>130</v>
      </c>
      <c r="N96" s="11" t="s">
        <v>130</v>
      </c>
    </row>
    <row r="97" spans="1:14" ht="15" customHeight="1" x14ac:dyDescent="0.25">
      <c r="A97" s="11">
        <v>101</v>
      </c>
      <c r="B97" s="11" t="s">
        <v>438</v>
      </c>
      <c r="C97" s="11" t="s">
        <v>291</v>
      </c>
      <c r="D97" s="11" t="s">
        <v>63</v>
      </c>
      <c r="E97" s="11">
        <v>2021</v>
      </c>
      <c r="F97" s="12">
        <v>71900</v>
      </c>
      <c r="G97" s="13">
        <v>29600</v>
      </c>
      <c r="H97" s="11" t="s">
        <v>21</v>
      </c>
      <c r="I97" s="11" t="s">
        <v>292</v>
      </c>
      <c r="J97" s="11" t="s">
        <v>76</v>
      </c>
      <c r="K97" s="11" t="s">
        <v>293</v>
      </c>
      <c r="L97" s="11" t="s">
        <v>38</v>
      </c>
      <c r="M97" s="11" t="s">
        <v>130</v>
      </c>
      <c r="N97" s="11" t="s">
        <v>130</v>
      </c>
    </row>
    <row r="98" spans="1:14" ht="15" customHeight="1" x14ac:dyDescent="0.25">
      <c r="A98" s="11">
        <v>102</v>
      </c>
      <c r="B98" s="11" t="s">
        <v>121</v>
      </c>
      <c r="C98" s="11" t="s">
        <v>294</v>
      </c>
      <c r="D98" s="11" t="s">
        <v>49</v>
      </c>
      <c r="E98" s="11">
        <v>2024</v>
      </c>
      <c r="F98" s="12">
        <v>143250</v>
      </c>
      <c r="G98" s="13">
        <v>3100</v>
      </c>
      <c r="H98" s="11" t="s">
        <v>17</v>
      </c>
      <c r="I98" s="11" t="s">
        <v>295</v>
      </c>
      <c r="J98" s="11" t="s">
        <v>76</v>
      </c>
      <c r="K98" s="11" t="s">
        <v>296</v>
      </c>
      <c r="L98" s="11" t="s">
        <v>40</v>
      </c>
      <c r="M98" s="11" t="s">
        <v>125</v>
      </c>
      <c r="N98" s="11" t="s">
        <v>130</v>
      </c>
    </row>
    <row r="99" spans="1:14" ht="15" customHeight="1" x14ac:dyDescent="0.25">
      <c r="A99" s="11">
        <v>103</v>
      </c>
      <c r="B99" s="11" t="s">
        <v>439</v>
      </c>
      <c r="C99" s="11" t="s">
        <v>298</v>
      </c>
      <c r="D99" s="11" t="s">
        <v>51</v>
      </c>
      <c r="E99" s="11">
        <v>2020</v>
      </c>
      <c r="F99" s="12">
        <v>137500</v>
      </c>
      <c r="G99" s="13">
        <v>48000</v>
      </c>
      <c r="H99" s="11" t="s">
        <v>13</v>
      </c>
      <c r="I99" s="11" t="s">
        <v>299</v>
      </c>
      <c r="J99" s="11" t="s">
        <v>94</v>
      </c>
      <c r="K99" s="11" t="s">
        <v>300</v>
      </c>
      <c r="L99" s="11" t="s">
        <v>36</v>
      </c>
      <c r="M99" s="11" t="s">
        <v>130</v>
      </c>
      <c r="N99" s="11" t="s">
        <v>130</v>
      </c>
    </row>
    <row r="100" spans="1:14" ht="15" customHeight="1" x14ac:dyDescent="0.25">
      <c r="A100" s="11">
        <v>104</v>
      </c>
      <c r="B100" s="11" t="s">
        <v>440</v>
      </c>
      <c r="C100" s="11" t="s">
        <v>302</v>
      </c>
      <c r="D100" s="11" t="s">
        <v>18</v>
      </c>
      <c r="E100" s="11">
        <v>2025</v>
      </c>
      <c r="F100" s="12">
        <v>204800</v>
      </c>
      <c r="G100" s="13">
        <v>3300</v>
      </c>
      <c r="H100" s="11" t="s">
        <v>15</v>
      </c>
      <c r="I100" s="11" t="s">
        <v>303</v>
      </c>
      <c r="J100" s="11" t="s">
        <v>85</v>
      </c>
      <c r="K100" s="11" t="s">
        <v>304</v>
      </c>
      <c r="L100" s="11" t="s">
        <v>38</v>
      </c>
      <c r="M100" s="11" t="s">
        <v>130</v>
      </c>
      <c r="N100" s="11" t="s">
        <v>130</v>
      </c>
    </row>
    <row r="101" spans="1:14" ht="15" customHeight="1" x14ac:dyDescent="0.25">
      <c r="A101" s="11">
        <v>105</v>
      </c>
      <c r="B101" s="11" t="s">
        <v>441</v>
      </c>
      <c r="C101" s="11" t="s">
        <v>306</v>
      </c>
      <c r="D101" s="11" t="s">
        <v>12</v>
      </c>
      <c r="E101" s="11">
        <v>2024</v>
      </c>
      <c r="F101" s="12">
        <v>271700</v>
      </c>
      <c r="G101" s="13">
        <v>1050</v>
      </c>
      <c r="H101" s="11" t="s">
        <v>23</v>
      </c>
      <c r="I101" s="11" t="s">
        <v>307</v>
      </c>
      <c r="J101" s="11" t="s">
        <v>83</v>
      </c>
      <c r="K101" s="11" t="s">
        <v>308</v>
      </c>
      <c r="L101" s="11" t="s">
        <v>36</v>
      </c>
      <c r="M101" s="11" t="s">
        <v>130</v>
      </c>
      <c r="N101" s="11" t="s">
        <v>130</v>
      </c>
    </row>
  </sheetData>
  <conditionalFormatting sqref="M2:N101">
    <cfRule type="cellIs" dxfId="0" priority="2" operator="equal">
      <formula>"Sim"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75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20" customWidth="1"/>
    <col min="3" max="3" width="14" customWidth="1"/>
    <col min="4" max="4" width="20" customWidth="1"/>
    <col min="5" max="5" width="18" customWidth="1"/>
  </cols>
  <sheetData>
    <row r="2" spans="1:5" ht="17.25" customHeight="1" x14ac:dyDescent="0.25">
      <c r="B2" s="14" t="s">
        <v>442</v>
      </c>
    </row>
    <row r="3" spans="1:5" ht="15" customHeight="1" x14ac:dyDescent="0.25">
      <c r="B3" s="5" t="s">
        <v>443</v>
      </c>
    </row>
    <row r="5" spans="1:5" ht="15" customHeight="1" x14ac:dyDescent="0.25">
      <c r="A5" s="7" t="s">
        <v>444</v>
      </c>
      <c r="B5" s="15" t="s">
        <v>117</v>
      </c>
      <c r="C5" s="15" t="s">
        <v>445</v>
      </c>
      <c r="D5" s="15" t="s">
        <v>2</v>
      </c>
      <c r="E5" s="15" t="s">
        <v>3</v>
      </c>
    </row>
    <row r="6" spans="1:5" ht="15" customHeight="1" x14ac:dyDescent="0.25">
      <c r="A6" s="8">
        <v>1</v>
      </c>
      <c r="B6" s="11" t="s">
        <v>278</v>
      </c>
      <c r="C6" s="11">
        <f>COUNTIF('Dados Limpos'!$K$2:$K$101,B6)</f>
        <v>2</v>
      </c>
      <c r="D6" s="16">
        <f>SUMIF('Dados Limpos'!$K$2:$K$101,B6,'Dados Limpos'!$F$2:$F$101)</f>
        <v>519000</v>
      </c>
      <c r="E6" s="16">
        <f t="shared" ref="E6:E37" si="0">IFERROR(D6/C6,0)</f>
        <v>259500</v>
      </c>
    </row>
    <row r="7" spans="1:5" ht="15" customHeight="1" x14ac:dyDescent="0.25">
      <c r="A7" s="8">
        <v>2</v>
      </c>
      <c r="B7" s="11" t="s">
        <v>208</v>
      </c>
      <c r="C7" s="11">
        <f>COUNTIF('Dados Limpos'!$K$2:$K$101,B7)</f>
        <v>2</v>
      </c>
      <c r="D7" s="16">
        <f>SUMIF('Dados Limpos'!$K$2:$K$101,B7,'Dados Limpos'!$F$2:$F$101)</f>
        <v>494000</v>
      </c>
      <c r="E7" s="16">
        <f t="shared" si="0"/>
        <v>247000</v>
      </c>
    </row>
    <row r="8" spans="1:5" ht="15" customHeight="1" x14ac:dyDescent="0.25">
      <c r="A8" s="8">
        <v>3</v>
      </c>
      <c r="B8" s="11" t="s">
        <v>179</v>
      </c>
      <c r="C8" s="11">
        <f>COUNTIF('Dados Limpos'!$K$2:$K$101,B8)</f>
        <v>2</v>
      </c>
      <c r="D8" s="16">
        <f>SUMIF('Dados Limpos'!$K$2:$K$101,B8,'Dados Limpos'!$F$2:$F$101)</f>
        <v>369800</v>
      </c>
      <c r="E8" s="16">
        <f t="shared" si="0"/>
        <v>184900</v>
      </c>
    </row>
    <row r="9" spans="1:5" ht="15" customHeight="1" x14ac:dyDescent="0.25">
      <c r="A9" s="8">
        <v>4</v>
      </c>
      <c r="B9" s="11" t="s">
        <v>308</v>
      </c>
      <c r="C9" s="11">
        <f>COUNTIF('Dados Limpos'!$K$2:$K$101,B9)</f>
        <v>2</v>
      </c>
      <c r="D9" s="16">
        <f>SUMIF('Dados Limpos'!$K$2:$K$101,B9,'Dados Limpos'!$F$2:$F$101)</f>
        <v>361400</v>
      </c>
      <c r="E9" s="16">
        <f t="shared" si="0"/>
        <v>180700</v>
      </c>
    </row>
    <row r="10" spans="1:5" ht="15" customHeight="1" x14ac:dyDescent="0.25">
      <c r="A10" s="8">
        <v>5</v>
      </c>
      <c r="B10" s="11" t="s">
        <v>304</v>
      </c>
      <c r="C10" s="11">
        <f>COUNTIF('Dados Limpos'!$K$2:$K$101,B10)</f>
        <v>2</v>
      </c>
      <c r="D10" s="16">
        <f>SUMIF('Dados Limpos'!$K$2:$K$101,B10,'Dados Limpos'!$F$2:$F$101)</f>
        <v>351600</v>
      </c>
      <c r="E10" s="16">
        <f t="shared" si="0"/>
        <v>175800</v>
      </c>
    </row>
    <row r="11" spans="1:5" ht="15" customHeight="1" x14ac:dyDescent="0.25">
      <c r="A11" s="8">
        <v>6</v>
      </c>
      <c r="B11" s="11" t="s">
        <v>167</v>
      </c>
      <c r="C11" s="11">
        <f>COUNTIF('Dados Limpos'!$K$2:$K$101,B11)</f>
        <v>2</v>
      </c>
      <c r="D11" s="16">
        <f>SUMIF('Dados Limpos'!$K$2:$K$101,B11,'Dados Limpos'!$F$2:$F$101)</f>
        <v>337800</v>
      </c>
      <c r="E11" s="16">
        <f t="shared" si="0"/>
        <v>168900</v>
      </c>
    </row>
    <row r="12" spans="1:5" ht="15" customHeight="1" x14ac:dyDescent="0.25">
      <c r="A12" s="8">
        <v>7</v>
      </c>
      <c r="B12" s="11" t="s">
        <v>197</v>
      </c>
      <c r="C12" s="11">
        <f>COUNTIF('Dados Limpos'!$K$2:$K$101,B12)</f>
        <v>2</v>
      </c>
      <c r="D12" s="16">
        <f>SUMIF('Dados Limpos'!$K$2:$K$101,B12,'Dados Limpos'!$F$2:$F$101)</f>
        <v>315250</v>
      </c>
      <c r="E12" s="16">
        <f t="shared" si="0"/>
        <v>157625</v>
      </c>
    </row>
    <row r="13" spans="1:5" ht="15" customHeight="1" x14ac:dyDescent="0.25">
      <c r="A13" s="8">
        <v>8</v>
      </c>
      <c r="B13" s="11" t="s">
        <v>289</v>
      </c>
      <c r="C13" s="11">
        <f>COUNTIF('Dados Limpos'!$K$2:$K$101,B13)</f>
        <v>2</v>
      </c>
      <c r="D13" s="16">
        <f>SUMIF('Dados Limpos'!$K$2:$K$101,B13,'Dados Limpos'!$F$2:$F$101)</f>
        <v>307000</v>
      </c>
      <c r="E13" s="16">
        <f t="shared" si="0"/>
        <v>153500</v>
      </c>
    </row>
    <row r="14" spans="1:5" ht="15" customHeight="1" x14ac:dyDescent="0.25">
      <c r="A14" s="8">
        <v>9</v>
      </c>
      <c r="B14" s="11" t="s">
        <v>205</v>
      </c>
      <c r="C14" s="11">
        <f>COUNTIF('Dados Limpos'!$K$2:$K$101,B14)</f>
        <v>3</v>
      </c>
      <c r="D14" s="16">
        <f>SUMIF('Dados Limpos'!$K$2:$K$101,B14,'Dados Limpos'!$F$2:$F$101)</f>
        <v>301700</v>
      </c>
      <c r="E14" s="16">
        <f t="shared" si="0"/>
        <v>100566.66666666667</v>
      </c>
    </row>
    <row r="15" spans="1:5" ht="15" customHeight="1" x14ac:dyDescent="0.25">
      <c r="A15" s="8">
        <v>10</v>
      </c>
      <c r="B15" s="11" t="s">
        <v>271</v>
      </c>
      <c r="C15" s="11">
        <f>COUNTIF('Dados Limpos'!$K$2:$K$101,B15)</f>
        <v>2</v>
      </c>
      <c r="D15" s="16">
        <f>SUMIF('Dados Limpos'!$K$2:$K$101,B15,'Dados Limpos'!$F$2:$F$101)</f>
        <v>293000</v>
      </c>
      <c r="E15" s="16">
        <f t="shared" si="0"/>
        <v>146500</v>
      </c>
    </row>
    <row r="16" spans="1:5" ht="15" customHeight="1" x14ac:dyDescent="0.25">
      <c r="A16" s="8">
        <v>11</v>
      </c>
      <c r="B16" s="11" t="s">
        <v>164</v>
      </c>
      <c r="C16" s="11">
        <f>COUNTIF('Dados Limpos'!$K$2:$K$101,B16)</f>
        <v>2</v>
      </c>
      <c r="D16" s="16">
        <f>SUMIF('Dados Limpos'!$K$2:$K$101,B16,'Dados Limpos'!$F$2:$F$101)</f>
        <v>287200.5</v>
      </c>
      <c r="E16" s="16">
        <f t="shared" si="0"/>
        <v>143600.25</v>
      </c>
    </row>
    <row r="17" spans="1:5" ht="15" customHeight="1" x14ac:dyDescent="0.25">
      <c r="A17" s="8">
        <v>12</v>
      </c>
      <c r="B17" s="11" t="s">
        <v>296</v>
      </c>
      <c r="C17" s="11">
        <f>COUNTIF('Dados Limpos'!$K$2:$K$101,B17)</f>
        <v>2</v>
      </c>
      <c r="D17" s="16">
        <f>SUMIF('Dados Limpos'!$K$2:$K$101,B17,'Dados Limpos'!$F$2:$F$101)</f>
        <v>284500</v>
      </c>
      <c r="E17" s="16">
        <f t="shared" si="0"/>
        <v>142250</v>
      </c>
    </row>
    <row r="18" spans="1:5" ht="15" customHeight="1" x14ac:dyDescent="0.25">
      <c r="A18" s="8">
        <v>13</v>
      </c>
      <c r="B18" s="11" t="s">
        <v>175</v>
      </c>
      <c r="C18" s="11">
        <f>COUNTIF('Dados Limpos'!$K$2:$K$101,B18)</f>
        <v>2</v>
      </c>
      <c r="D18" s="16">
        <f>SUMIF('Dados Limpos'!$K$2:$K$101,B18,'Dados Limpos'!$F$2:$F$101)</f>
        <v>282300</v>
      </c>
      <c r="E18" s="16">
        <f t="shared" si="0"/>
        <v>141150</v>
      </c>
    </row>
    <row r="19" spans="1:5" ht="15" customHeight="1" x14ac:dyDescent="0.25">
      <c r="A19" s="8">
        <v>14</v>
      </c>
      <c r="B19" s="11" t="s">
        <v>325</v>
      </c>
      <c r="C19" s="11">
        <f>COUNTIF('Dados Limpos'!$K$2:$K$101,B19)</f>
        <v>1</v>
      </c>
      <c r="D19" s="16">
        <f>SUMIF('Dados Limpos'!$K$2:$K$101,B19,'Dados Limpos'!$F$2:$F$101)</f>
        <v>268900</v>
      </c>
      <c r="E19" s="16">
        <f t="shared" si="0"/>
        <v>268900</v>
      </c>
    </row>
    <row r="20" spans="1:5" ht="15" customHeight="1" x14ac:dyDescent="0.25">
      <c r="A20" s="8">
        <v>15</v>
      </c>
      <c r="B20" s="11" t="s">
        <v>171</v>
      </c>
      <c r="C20" s="11">
        <f>COUNTIF('Dados Limpos'!$K$2:$K$101,B20)</f>
        <v>2</v>
      </c>
      <c r="D20" s="16">
        <f>SUMIF('Dados Limpos'!$K$2:$K$101,B20,'Dados Limpos'!$F$2:$F$101)</f>
        <v>263600</v>
      </c>
      <c r="E20" s="16">
        <f t="shared" si="0"/>
        <v>131800</v>
      </c>
    </row>
    <row r="21" spans="1:5" ht="15" customHeight="1" x14ac:dyDescent="0.25">
      <c r="A21" s="8">
        <v>16</v>
      </c>
      <c r="B21" s="11" t="s">
        <v>186</v>
      </c>
      <c r="C21" s="11">
        <f>COUNTIF('Dados Limpos'!$K$2:$K$101,B21)</f>
        <v>2</v>
      </c>
      <c r="D21" s="16">
        <f>SUMIF('Dados Limpos'!$K$2:$K$101,B21,'Dados Limpos'!$F$2:$F$101)</f>
        <v>255300</v>
      </c>
      <c r="E21" s="16">
        <f t="shared" si="0"/>
        <v>127650</v>
      </c>
    </row>
    <row r="22" spans="1:5" ht="15" customHeight="1" x14ac:dyDescent="0.25">
      <c r="A22" s="8">
        <v>17</v>
      </c>
      <c r="B22" s="11" t="s">
        <v>275</v>
      </c>
      <c r="C22" s="11">
        <f>COUNTIF('Dados Limpos'!$K$2:$K$101,B22)</f>
        <v>2</v>
      </c>
      <c r="D22" s="16">
        <f>SUMIF('Dados Limpos'!$K$2:$K$101,B22,'Dados Limpos'!$F$2:$F$101)</f>
        <v>255000</v>
      </c>
      <c r="E22" s="16">
        <f t="shared" si="0"/>
        <v>127500</v>
      </c>
    </row>
    <row r="23" spans="1:5" ht="15" customHeight="1" x14ac:dyDescent="0.25">
      <c r="A23" s="8">
        <v>18</v>
      </c>
      <c r="B23" s="11" t="s">
        <v>424</v>
      </c>
      <c r="C23" s="11">
        <f>COUNTIF('Dados Limpos'!$K$2:$K$101,B23)</f>
        <v>1</v>
      </c>
      <c r="D23" s="16">
        <f>SUMIF('Dados Limpos'!$K$2:$K$101,B23,'Dados Limpos'!$F$2:$F$101)</f>
        <v>249300</v>
      </c>
      <c r="E23" s="16">
        <f t="shared" si="0"/>
        <v>249300</v>
      </c>
    </row>
    <row r="24" spans="1:5" ht="15" customHeight="1" x14ac:dyDescent="0.25">
      <c r="A24" s="8">
        <v>19</v>
      </c>
      <c r="B24" s="11" t="s">
        <v>129</v>
      </c>
      <c r="C24" s="11">
        <f>COUNTIF('Dados Limpos'!$K$2:$K$101,B24)</f>
        <v>1</v>
      </c>
      <c r="D24" s="16">
        <f>SUMIF('Dados Limpos'!$K$2:$K$101,B24,'Dados Limpos'!$F$2:$F$101)</f>
        <v>235000</v>
      </c>
      <c r="E24" s="16">
        <f t="shared" si="0"/>
        <v>235000</v>
      </c>
    </row>
    <row r="25" spans="1:5" ht="15" customHeight="1" x14ac:dyDescent="0.25">
      <c r="A25" s="8">
        <v>20</v>
      </c>
      <c r="B25" s="11" t="s">
        <v>360</v>
      </c>
      <c r="C25" s="11">
        <f>COUNTIF('Dados Limpos'!$K$2:$K$101,B25)</f>
        <v>1</v>
      </c>
      <c r="D25" s="16">
        <f>SUMIF('Dados Limpos'!$K$2:$K$101,B25,'Dados Limpos'!$F$2:$F$101)</f>
        <v>218000</v>
      </c>
      <c r="E25" s="16">
        <f t="shared" si="0"/>
        <v>218000</v>
      </c>
    </row>
    <row r="26" spans="1:5" ht="15" customHeight="1" x14ac:dyDescent="0.25">
      <c r="A26" s="8">
        <v>21</v>
      </c>
      <c r="B26" s="11" t="s">
        <v>234</v>
      </c>
      <c r="C26" s="11">
        <f>COUNTIF('Dados Limpos'!$K$2:$K$101,B26)</f>
        <v>1</v>
      </c>
      <c r="D26" s="16">
        <f>SUMIF('Dados Limpos'!$K$2:$K$101,B26,'Dados Limpos'!$F$2:$F$101)</f>
        <v>214000</v>
      </c>
      <c r="E26" s="16">
        <f t="shared" si="0"/>
        <v>214000</v>
      </c>
    </row>
    <row r="27" spans="1:5" ht="15" customHeight="1" x14ac:dyDescent="0.25">
      <c r="A27" s="8">
        <v>22</v>
      </c>
      <c r="B27" s="11" t="s">
        <v>264</v>
      </c>
      <c r="C27" s="11">
        <f>COUNTIF('Dados Limpos'!$K$2:$K$101,B27)</f>
        <v>2</v>
      </c>
      <c r="D27" s="16">
        <f>SUMIF('Dados Limpos'!$K$2:$K$101,B27,'Dados Limpos'!$F$2:$F$101)</f>
        <v>212500</v>
      </c>
      <c r="E27" s="16">
        <f t="shared" si="0"/>
        <v>106250</v>
      </c>
    </row>
    <row r="28" spans="1:5" ht="15" customHeight="1" x14ac:dyDescent="0.25">
      <c r="A28" s="8">
        <v>23</v>
      </c>
      <c r="B28" s="11" t="s">
        <v>300</v>
      </c>
      <c r="C28" s="11">
        <f>COUNTIF('Dados Limpos'!$K$2:$K$101,B28)</f>
        <v>2</v>
      </c>
      <c r="D28" s="16">
        <f>SUMIF('Dados Limpos'!$K$2:$K$101,B28,'Dados Limpos'!$F$2:$F$101)</f>
        <v>209000</v>
      </c>
      <c r="E28" s="16">
        <f t="shared" si="0"/>
        <v>104500</v>
      </c>
    </row>
    <row r="29" spans="1:5" ht="15" customHeight="1" x14ac:dyDescent="0.25">
      <c r="A29" s="8">
        <v>24</v>
      </c>
      <c r="B29" s="11" t="s">
        <v>193</v>
      </c>
      <c r="C29" s="11">
        <f>COUNTIF('Dados Limpos'!$K$2:$K$101,B29)</f>
        <v>2</v>
      </c>
      <c r="D29" s="16">
        <f>SUMIF('Dados Limpos'!$K$2:$K$101,B29,'Dados Limpos'!$F$2:$F$101)</f>
        <v>202300</v>
      </c>
      <c r="E29" s="16">
        <f t="shared" si="0"/>
        <v>101150</v>
      </c>
    </row>
    <row r="30" spans="1:5" ht="15" customHeight="1" x14ac:dyDescent="0.25">
      <c r="A30" s="8">
        <v>25</v>
      </c>
      <c r="B30" s="11" t="s">
        <v>141</v>
      </c>
      <c r="C30" s="11">
        <f>COUNTIF('Dados Limpos'!$K$2:$K$101,B30)</f>
        <v>2</v>
      </c>
      <c r="D30" s="16">
        <f>SUMIF('Dados Limpos'!$K$2:$K$101,B30,'Dados Limpos'!$F$2:$F$101)</f>
        <v>202000</v>
      </c>
      <c r="E30" s="16">
        <f t="shared" si="0"/>
        <v>101000</v>
      </c>
    </row>
    <row r="31" spans="1:5" ht="15" customHeight="1" x14ac:dyDescent="0.25">
      <c r="A31" s="8">
        <v>26</v>
      </c>
      <c r="B31" s="11" t="s">
        <v>341</v>
      </c>
      <c r="C31" s="11">
        <f>COUNTIF('Dados Limpos'!$K$2:$K$101,B31)</f>
        <v>1</v>
      </c>
      <c r="D31" s="16">
        <f>SUMIF('Dados Limpos'!$K$2:$K$101,B31,'Dados Limpos'!$F$2:$F$101)</f>
        <v>200000</v>
      </c>
      <c r="E31" s="16">
        <f t="shared" si="0"/>
        <v>200000</v>
      </c>
    </row>
    <row r="32" spans="1:5" ht="15" customHeight="1" x14ac:dyDescent="0.25">
      <c r="A32" s="8">
        <v>27</v>
      </c>
      <c r="B32" s="11" t="s">
        <v>190</v>
      </c>
      <c r="C32" s="11">
        <f>COUNTIF('Dados Limpos'!$K$2:$K$101,B32)</f>
        <v>2</v>
      </c>
      <c r="D32" s="16">
        <f>SUMIF('Dados Limpos'!$K$2:$K$101,B32,'Dados Limpos'!$F$2:$F$101)</f>
        <v>198400</v>
      </c>
      <c r="E32" s="16">
        <f t="shared" si="0"/>
        <v>99200</v>
      </c>
    </row>
    <row r="33" spans="1:5" ht="15" customHeight="1" x14ac:dyDescent="0.25">
      <c r="A33" s="8">
        <v>28</v>
      </c>
      <c r="B33" s="11" t="s">
        <v>261</v>
      </c>
      <c r="C33" s="11">
        <f>COUNTIF('Dados Limpos'!$K$2:$K$101,B33)</f>
        <v>1</v>
      </c>
      <c r="D33" s="16">
        <f>SUMIF('Dados Limpos'!$K$2:$K$101,B33,'Dados Limpos'!$F$2:$F$101)</f>
        <v>198300</v>
      </c>
      <c r="E33" s="16">
        <f t="shared" si="0"/>
        <v>198300</v>
      </c>
    </row>
    <row r="34" spans="1:5" ht="15" customHeight="1" x14ac:dyDescent="0.25">
      <c r="A34" s="8">
        <v>29</v>
      </c>
      <c r="B34" s="11" t="s">
        <v>201</v>
      </c>
      <c r="C34" s="11">
        <f>COUNTIF('Dados Limpos'!$K$2:$K$101,B34)</f>
        <v>2</v>
      </c>
      <c r="D34" s="16">
        <f>SUMIF('Dados Limpos'!$K$2:$K$101,B34,'Dados Limpos'!$F$2:$F$101)</f>
        <v>191900</v>
      </c>
      <c r="E34" s="16">
        <f t="shared" si="0"/>
        <v>95950</v>
      </c>
    </row>
    <row r="35" spans="1:5" ht="15" customHeight="1" x14ac:dyDescent="0.25">
      <c r="A35" s="8">
        <v>30</v>
      </c>
      <c r="B35" s="11" t="s">
        <v>282</v>
      </c>
      <c r="C35" s="11">
        <f>COUNTIF('Dados Limpos'!$K$2:$K$101,B35)</f>
        <v>2</v>
      </c>
      <c r="D35" s="16">
        <f>SUMIF('Dados Limpos'!$K$2:$K$101,B35,'Dados Limpos'!$F$2:$F$101)</f>
        <v>189600</v>
      </c>
      <c r="E35" s="16">
        <f t="shared" si="0"/>
        <v>94800</v>
      </c>
    </row>
    <row r="36" spans="1:5" ht="15" customHeight="1" x14ac:dyDescent="0.25">
      <c r="A36" s="8">
        <v>31</v>
      </c>
      <c r="B36" s="11" t="s">
        <v>267</v>
      </c>
      <c r="C36" s="11">
        <f>COUNTIF('Dados Limpos'!$K$2:$K$101,B36)</f>
        <v>2</v>
      </c>
      <c r="D36" s="16">
        <f>SUMIF('Dados Limpos'!$K$2:$K$101,B36,'Dados Limpos'!$F$2:$F$101)</f>
        <v>186200</v>
      </c>
      <c r="E36" s="16">
        <f t="shared" si="0"/>
        <v>93100</v>
      </c>
    </row>
    <row r="37" spans="1:5" ht="15" customHeight="1" x14ac:dyDescent="0.25">
      <c r="A37" s="8">
        <v>32</v>
      </c>
      <c r="B37" s="11" t="s">
        <v>134</v>
      </c>
      <c r="C37" s="11">
        <f>COUNTIF('Dados Limpos'!$K$2:$K$101,B37)</f>
        <v>2</v>
      </c>
      <c r="D37" s="16">
        <f>SUMIF('Dados Limpos'!$K$2:$K$101,B37,'Dados Limpos'!$F$2:$F$101)</f>
        <v>182550</v>
      </c>
      <c r="E37" s="16">
        <f t="shared" si="0"/>
        <v>91275</v>
      </c>
    </row>
    <row r="38" spans="1:5" ht="15" customHeight="1" x14ac:dyDescent="0.25">
      <c r="A38" s="8">
        <v>33</v>
      </c>
      <c r="B38" s="11" t="s">
        <v>349</v>
      </c>
      <c r="C38" s="11">
        <f>COUNTIF('Dados Limpos'!$K$2:$K$101,B38)</f>
        <v>1</v>
      </c>
      <c r="D38" s="16">
        <f>SUMIF('Dados Limpos'!$K$2:$K$101,B38,'Dados Limpos'!$F$2:$F$101)</f>
        <v>176400</v>
      </c>
      <c r="E38" s="16">
        <f t="shared" ref="E38:E69" si="1">IFERROR(D38/C38,0)</f>
        <v>176400</v>
      </c>
    </row>
    <row r="39" spans="1:5" ht="15" customHeight="1" x14ac:dyDescent="0.25">
      <c r="A39" s="8">
        <v>34</v>
      </c>
      <c r="B39" s="11" t="s">
        <v>219</v>
      </c>
      <c r="C39" s="11">
        <f>COUNTIF('Dados Limpos'!$K$2:$K$101,B39)</f>
        <v>1</v>
      </c>
      <c r="D39" s="16">
        <f>SUMIF('Dados Limpos'!$K$2:$K$101,B39,'Dados Limpos'!$F$2:$F$101)</f>
        <v>173600</v>
      </c>
      <c r="E39" s="16">
        <f t="shared" si="1"/>
        <v>173600</v>
      </c>
    </row>
    <row r="40" spans="1:5" ht="15" customHeight="1" x14ac:dyDescent="0.25">
      <c r="A40" s="8">
        <v>35</v>
      </c>
      <c r="B40" s="11" t="s">
        <v>321</v>
      </c>
      <c r="C40" s="11">
        <f>COUNTIF('Dados Limpos'!$K$2:$K$101,B40)</f>
        <v>1</v>
      </c>
      <c r="D40" s="16">
        <f>SUMIF('Dados Limpos'!$K$2:$K$101,B40,'Dados Limpos'!$F$2:$F$101)</f>
        <v>169000</v>
      </c>
      <c r="E40" s="16">
        <f t="shared" si="1"/>
        <v>169000</v>
      </c>
    </row>
    <row r="41" spans="1:5" ht="15" customHeight="1" x14ac:dyDescent="0.25">
      <c r="A41" s="8">
        <v>36</v>
      </c>
      <c r="B41" s="11" t="s">
        <v>257</v>
      </c>
      <c r="C41" s="11">
        <f>COUNTIF('Dados Limpos'!$K$2:$K$101,B41)</f>
        <v>2</v>
      </c>
      <c r="D41" s="16">
        <f>SUMIF('Dados Limpos'!$K$2:$K$101,B41,'Dados Limpos'!$F$2:$F$101)</f>
        <v>152900</v>
      </c>
      <c r="E41" s="16">
        <f t="shared" si="1"/>
        <v>76450</v>
      </c>
    </row>
    <row r="42" spans="1:5" ht="15" customHeight="1" x14ac:dyDescent="0.25">
      <c r="A42" s="8">
        <v>37</v>
      </c>
      <c r="B42" s="11" t="s">
        <v>286</v>
      </c>
      <c r="C42" s="11">
        <f>COUNTIF('Dados Limpos'!$K$2:$K$101,B42)</f>
        <v>2</v>
      </c>
      <c r="D42" s="16">
        <f>SUMIF('Dados Limpos'!$K$2:$K$101,B42,'Dados Limpos'!$F$2:$F$101)</f>
        <v>146800</v>
      </c>
      <c r="E42" s="16">
        <f t="shared" si="1"/>
        <v>73400</v>
      </c>
    </row>
    <row r="43" spans="1:5" ht="15" customHeight="1" x14ac:dyDescent="0.25">
      <c r="A43" s="8">
        <v>38</v>
      </c>
      <c r="B43" s="11" t="s">
        <v>293</v>
      </c>
      <c r="C43" s="11">
        <f>COUNTIF('Dados Limpos'!$K$2:$K$101,B43)</f>
        <v>2</v>
      </c>
      <c r="D43" s="16">
        <f>SUMIF('Dados Limpos'!$K$2:$K$101,B43,'Dados Limpos'!$F$2:$F$101)</f>
        <v>141800</v>
      </c>
      <c r="E43" s="16">
        <f t="shared" si="1"/>
        <v>70900</v>
      </c>
    </row>
    <row r="44" spans="1:5" ht="15" customHeight="1" x14ac:dyDescent="0.25">
      <c r="A44" s="8">
        <v>39</v>
      </c>
      <c r="B44" s="11" t="s">
        <v>183</v>
      </c>
      <c r="C44" s="11">
        <f>COUNTIF('Dados Limpos'!$K$2:$K$101,B44)</f>
        <v>2</v>
      </c>
      <c r="D44" s="16">
        <f>SUMIF('Dados Limpos'!$K$2:$K$101,B44,'Dados Limpos'!$F$2:$F$101)</f>
        <v>141650</v>
      </c>
      <c r="E44" s="16">
        <f t="shared" si="1"/>
        <v>70825</v>
      </c>
    </row>
    <row r="45" spans="1:5" ht="15" customHeight="1" x14ac:dyDescent="0.25">
      <c r="A45" s="8">
        <v>40</v>
      </c>
      <c r="B45" s="11" t="s">
        <v>212</v>
      </c>
      <c r="C45" s="11">
        <f>COUNTIF('Dados Limpos'!$K$2:$K$101,B45)</f>
        <v>1</v>
      </c>
      <c r="D45" s="16">
        <f>SUMIF('Dados Limpos'!$K$2:$K$101,B45,'Dados Limpos'!$F$2:$F$101)</f>
        <v>139000</v>
      </c>
      <c r="E45" s="16">
        <f t="shared" si="1"/>
        <v>139000</v>
      </c>
    </row>
    <row r="46" spans="1:5" ht="15" customHeight="1" x14ac:dyDescent="0.25">
      <c r="A46" s="8">
        <v>41</v>
      </c>
      <c r="B46" s="11" t="s">
        <v>417</v>
      </c>
      <c r="C46" s="11">
        <f>COUNTIF('Dados Limpos'!$K$2:$K$101,B46)</f>
        <v>1</v>
      </c>
      <c r="D46" s="16">
        <f>SUMIF('Dados Limpos'!$K$2:$K$101,B46,'Dados Limpos'!$F$2:$F$101)</f>
        <v>132700</v>
      </c>
      <c r="E46" s="16">
        <f t="shared" si="1"/>
        <v>132700</v>
      </c>
    </row>
    <row r="47" spans="1:5" ht="15" customHeight="1" x14ac:dyDescent="0.25">
      <c r="A47" s="8">
        <v>42</v>
      </c>
      <c r="B47" s="11" t="s">
        <v>345</v>
      </c>
      <c r="C47" s="11">
        <f>COUNTIF('Dados Limpos'!$K$2:$K$101,B47)</f>
        <v>1</v>
      </c>
      <c r="D47" s="16">
        <f>SUMIF('Dados Limpos'!$K$2:$K$101,B47,'Dados Limpos'!$F$2:$F$101)</f>
        <v>132000</v>
      </c>
      <c r="E47" s="16">
        <f t="shared" si="1"/>
        <v>132000</v>
      </c>
    </row>
    <row r="48" spans="1:5" ht="15" customHeight="1" x14ac:dyDescent="0.25">
      <c r="A48" s="8">
        <v>43</v>
      </c>
      <c r="B48" s="11" t="s">
        <v>337</v>
      </c>
      <c r="C48" s="11">
        <f>COUNTIF('Dados Limpos'!$K$2:$K$101,B48)</f>
        <v>1</v>
      </c>
      <c r="D48" s="16">
        <f>SUMIF('Dados Limpos'!$K$2:$K$101,B48,'Dados Limpos'!$F$2:$F$101)</f>
        <v>127900</v>
      </c>
      <c r="E48" s="16">
        <f t="shared" si="1"/>
        <v>127900</v>
      </c>
    </row>
    <row r="49" spans="1:5" ht="15" customHeight="1" x14ac:dyDescent="0.25">
      <c r="A49" s="8">
        <v>44</v>
      </c>
      <c r="B49" s="11" t="s">
        <v>410</v>
      </c>
      <c r="C49" s="11">
        <f>COUNTIF('Dados Limpos'!$K$2:$K$101,B49)</f>
        <v>1</v>
      </c>
      <c r="D49" s="16">
        <f>SUMIF('Dados Limpos'!$K$2:$K$101,B49,'Dados Limpos'!$F$2:$F$101)</f>
        <v>126900</v>
      </c>
      <c r="E49" s="16">
        <f t="shared" si="1"/>
        <v>126900</v>
      </c>
    </row>
    <row r="50" spans="1:5" ht="15" customHeight="1" x14ac:dyDescent="0.25">
      <c r="A50" s="8">
        <v>45</v>
      </c>
      <c r="B50" s="11" t="s">
        <v>237</v>
      </c>
      <c r="C50" s="11">
        <f>COUNTIF('Dados Limpos'!$K$2:$K$101,B50)</f>
        <v>1</v>
      </c>
      <c r="D50" s="16">
        <f>SUMIF('Dados Limpos'!$K$2:$K$101,B50,'Dados Limpos'!$F$2:$F$101)</f>
        <v>124500</v>
      </c>
      <c r="E50" s="16">
        <f t="shared" si="1"/>
        <v>124500</v>
      </c>
    </row>
    <row r="51" spans="1:5" ht="15" customHeight="1" x14ac:dyDescent="0.25">
      <c r="A51" s="8">
        <v>46</v>
      </c>
      <c r="B51" s="11" t="s">
        <v>366</v>
      </c>
      <c r="C51" s="11">
        <f>COUNTIF('Dados Limpos'!$K$2:$K$101,B51)</f>
        <v>1</v>
      </c>
      <c r="D51" s="16">
        <f>SUMIF('Dados Limpos'!$K$2:$K$101,B51,'Dados Limpos'!$F$2:$F$101)</f>
        <v>121750</v>
      </c>
      <c r="E51" s="16">
        <f t="shared" si="1"/>
        <v>121750</v>
      </c>
    </row>
    <row r="52" spans="1:5" ht="15" customHeight="1" x14ac:dyDescent="0.25">
      <c r="A52" s="8">
        <v>47</v>
      </c>
      <c r="B52" s="11" t="s">
        <v>223</v>
      </c>
      <c r="C52" s="11">
        <f>COUNTIF('Dados Limpos'!$K$2:$K$101,B52)</f>
        <v>1</v>
      </c>
      <c r="D52" s="16">
        <f>SUMIF('Dados Limpos'!$K$2:$K$101,B52,'Dados Limpos'!$F$2:$F$101)</f>
        <v>119900</v>
      </c>
      <c r="E52" s="16">
        <f t="shared" si="1"/>
        <v>119900</v>
      </c>
    </row>
    <row r="53" spans="1:5" ht="15" customHeight="1" x14ac:dyDescent="0.25">
      <c r="A53" s="8">
        <v>48</v>
      </c>
      <c r="B53" s="11" t="s">
        <v>249</v>
      </c>
      <c r="C53" s="11">
        <f>COUNTIF('Dados Limpos'!$K$2:$K$101,B53)</f>
        <v>1</v>
      </c>
      <c r="D53" s="16">
        <f>SUMIF('Dados Limpos'!$K$2:$K$101,B53,'Dados Limpos'!$F$2:$F$101)</f>
        <v>116900</v>
      </c>
      <c r="E53" s="16">
        <f t="shared" si="1"/>
        <v>116900</v>
      </c>
    </row>
    <row r="54" spans="1:5" ht="15" customHeight="1" x14ac:dyDescent="0.25">
      <c r="A54" s="8">
        <v>49</v>
      </c>
      <c r="B54" s="11" t="s">
        <v>253</v>
      </c>
      <c r="C54" s="11">
        <f>COUNTIF('Dados Limpos'!$K$2:$K$101,B54)</f>
        <v>1</v>
      </c>
      <c r="D54" s="16">
        <f>SUMIF('Dados Limpos'!$K$2:$K$101,B54,'Dados Limpos'!$F$2:$F$101)</f>
        <v>112000</v>
      </c>
      <c r="E54" s="16">
        <f t="shared" si="1"/>
        <v>112000</v>
      </c>
    </row>
    <row r="55" spans="1:5" ht="15" customHeight="1" x14ac:dyDescent="0.25">
      <c r="A55" s="8">
        <v>50</v>
      </c>
      <c r="B55" s="11" t="s">
        <v>227</v>
      </c>
      <c r="C55" s="11">
        <f>COUNTIF('Dados Limpos'!$K$2:$K$101,B55)</f>
        <v>1</v>
      </c>
      <c r="D55" s="16">
        <f>SUMIF('Dados Limpos'!$K$2:$K$101,B55,'Dados Limpos'!$F$2:$F$101)</f>
        <v>109250</v>
      </c>
      <c r="E55" s="16">
        <f t="shared" si="1"/>
        <v>109250</v>
      </c>
    </row>
    <row r="56" spans="1:5" ht="15" customHeight="1" x14ac:dyDescent="0.25">
      <c r="A56" s="8">
        <v>51</v>
      </c>
      <c r="B56" s="11" t="s">
        <v>352</v>
      </c>
      <c r="C56" s="11">
        <f>COUNTIF('Dados Limpos'!$K$2:$K$101,B56)</f>
        <v>1</v>
      </c>
      <c r="D56" s="16">
        <f>SUMIF('Dados Limpos'!$K$2:$K$101,B56,'Dados Limpos'!$F$2:$F$101)</f>
        <v>108500</v>
      </c>
      <c r="E56" s="16">
        <f t="shared" si="1"/>
        <v>108500</v>
      </c>
    </row>
    <row r="57" spans="1:5" ht="15" customHeight="1" x14ac:dyDescent="0.25">
      <c r="A57" s="8">
        <v>52</v>
      </c>
      <c r="B57" s="11" t="s">
        <v>312</v>
      </c>
      <c r="C57" s="11">
        <f>COUNTIF('Dados Limpos'!$K$2:$K$101,B57)</f>
        <v>1</v>
      </c>
      <c r="D57" s="16">
        <f>SUMIF('Dados Limpos'!$K$2:$K$101,B57,'Dados Limpos'!$F$2:$F$101)</f>
        <v>104600</v>
      </c>
      <c r="E57" s="16">
        <f t="shared" si="1"/>
        <v>104600</v>
      </c>
    </row>
    <row r="58" spans="1:5" ht="15" customHeight="1" x14ac:dyDescent="0.25">
      <c r="A58" s="8">
        <v>53</v>
      </c>
      <c r="B58" s="11" t="s">
        <v>145</v>
      </c>
      <c r="C58" s="11">
        <f>COUNTIF('Dados Limpos'!$K$2:$K$101,B58)</f>
        <v>1</v>
      </c>
      <c r="D58" s="16">
        <f>SUMIF('Dados Limpos'!$K$2:$K$101,B58,'Dados Limpos'!$F$2:$F$101)</f>
        <v>104500</v>
      </c>
      <c r="E58" s="16">
        <f t="shared" si="1"/>
        <v>104500</v>
      </c>
    </row>
    <row r="59" spans="1:5" ht="15" customHeight="1" x14ac:dyDescent="0.25">
      <c r="A59" s="8">
        <v>54</v>
      </c>
      <c r="B59" s="11" t="s">
        <v>329</v>
      </c>
      <c r="C59" s="11">
        <f>COUNTIF('Dados Limpos'!$K$2:$K$101,B59)</f>
        <v>1</v>
      </c>
      <c r="D59" s="16">
        <f>SUMIF('Dados Limpos'!$K$2:$K$101,B59,'Dados Limpos'!$F$2:$F$101)</f>
        <v>101300</v>
      </c>
      <c r="E59" s="16">
        <f t="shared" si="1"/>
        <v>101300</v>
      </c>
    </row>
    <row r="60" spans="1:5" ht="15" customHeight="1" x14ac:dyDescent="0.25">
      <c r="A60" s="8">
        <v>55</v>
      </c>
      <c r="B60" s="11" t="s">
        <v>363</v>
      </c>
      <c r="C60" s="11">
        <f>COUNTIF('Dados Limpos'!$K$2:$K$101,B60)</f>
        <v>1</v>
      </c>
      <c r="D60" s="16">
        <f>SUMIF('Dados Limpos'!$K$2:$K$101,B60,'Dados Limpos'!$F$2:$F$101)</f>
        <v>99950</v>
      </c>
      <c r="E60" s="16">
        <f t="shared" si="1"/>
        <v>99950</v>
      </c>
    </row>
    <row r="61" spans="1:5" ht="15" customHeight="1" x14ac:dyDescent="0.25">
      <c r="A61" s="8">
        <v>56</v>
      </c>
      <c r="B61" s="11" t="s">
        <v>241</v>
      </c>
      <c r="C61" s="11">
        <f>COUNTIF('Dados Limpos'!$K$2:$K$101,B61)</f>
        <v>1</v>
      </c>
      <c r="D61" s="16">
        <f>SUMIF('Dados Limpos'!$K$2:$K$101,B61,'Dados Limpos'!$F$2:$F$101)</f>
        <v>98200</v>
      </c>
      <c r="E61" s="16">
        <f t="shared" si="1"/>
        <v>98200</v>
      </c>
    </row>
    <row r="62" spans="1:5" ht="15" customHeight="1" x14ac:dyDescent="0.25">
      <c r="A62" s="8">
        <v>57</v>
      </c>
      <c r="B62" s="11" t="s">
        <v>149</v>
      </c>
      <c r="C62" s="11">
        <f>COUNTIF('Dados Limpos'!$K$2:$K$101,B62)</f>
        <v>1</v>
      </c>
      <c r="D62" s="16">
        <f>SUMIF('Dados Limpos'!$K$2:$K$101,B62,'Dados Limpos'!$F$2:$F$101)</f>
        <v>96300</v>
      </c>
      <c r="E62" s="16">
        <f t="shared" si="1"/>
        <v>96300</v>
      </c>
    </row>
    <row r="63" spans="1:5" ht="15" customHeight="1" x14ac:dyDescent="0.25">
      <c r="A63" s="8">
        <v>58</v>
      </c>
      <c r="B63" s="11" t="s">
        <v>160</v>
      </c>
      <c r="C63" s="11">
        <f>COUNTIF('Dados Limpos'!$K$2:$K$101,B63)</f>
        <v>1</v>
      </c>
      <c r="D63" s="16">
        <f>SUMIF('Dados Limpos'!$K$2:$K$101,B63,'Dados Limpos'!$F$2:$F$101)</f>
        <v>95000</v>
      </c>
      <c r="E63" s="16">
        <f t="shared" si="1"/>
        <v>95000</v>
      </c>
    </row>
    <row r="64" spans="1:5" ht="15" customHeight="1" x14ac:dyDescent="0.25">
      <c r="A64" s="8">
        <v>59</v>
      </c>
      <c r="B64" s="11" t="s">
        <v>370</v>
      </c>
      <c r="C64" s="11">
        <f>COUNTIF('Dados Limpos'!$K$2:$K$101,B64)</f>
        <v>1</v>
      </c>
      <c r="D64" s="16">
        <f>SUMIF('Dados Limpos'!$K$2:$K$101,B64,'Dados Limpos'!$F$2:$F$101)</f>
        <v>91500</v>
      </c>
      <c r="E64" s="16">
        <f t="shared" si="1"/>
        <v>91500</v>
      </c>
    </row>
    <row r="65" spans="1:5" ht="15" customHeight="1" x14ac:dyDescent="0.25">
      <c r="A65" s="8">
        <v>60</v>
      </c>
      <c r="B65" s="11" t="s">
        <v>152</v>
      </c>
      <c r="C65" s="11">
        <f>COUNTIF('Dados Limpos'!$K$2:$K$101,B65)</f>
        <v>1</v>
      </c>
      <c r="D65" s="16">
        <f>SUMIF('Dados Limpos'!$K$2:$K$101,B65,'Dados Limpos'!$F$2:$F$101)</f>
        <v>89750</v>
      </c>
      <c r="E65" s="16">
        <f t="shared" si="1"/>
        <v>89750</v>
      </c>
    </row>
    <row r="66" spans="1:5" ht="15" customHeight="1" x14ac:dyDescent="0.25">
      <c r="A66" s="8">
        <v>61</v>
      </c>
      <c r="B66" s="11" t="s">
        <v>413</v>
      </c>
      <c r="C66" s="11">
        <f>COUNTIF('Dados Limpos'!$K$2:$K$101,B66)</f>
        <v>1</v>
      </c>
      <c r="D66" s="16">
        <f>SUMIF('Dados Limpos'!$K$2:$K$101,B66,'Dados Limpos'!$F$2:$F$101)</f>
        <v>84500</v>
      </c>
      <c r="E66" s="16">
        <f t="shared" si="1"/>
        <v>84500</v>
      </c>
    </row>
    <row r="67" spans="1:5" ht="15" customHeight="1" x14ac:dyDescent="0.25">
      <c r="A67" s="8">
        <v>62</v>
      </c>
      <c r="B67" s="11" t="s">
        <v>231</v>
      </c>
      <c r="C67" s="11">
        <f>COUNTIF('Dados Limpos'!$K$2:$K$101,B67)</f>
        <v>1</v>
      </c>
      <c r="D67" s="16">
        <f>SUMIF('Dados Limpos'!$K$2:$K$101,B67,'Dados Limpos'!$F$2:$F$101)</f>
        <v>82000</v>
      </c>
      <c r="E67" s="16">
        <f t="shared" si="1"/>
        <v>82000</v>
      </c>
    </row>
    <row r="68" spans="1:5" ht="15" customHeight="1" x14ac:dyDescent="0.25">
      <c r="A68" s="8">
        <v>63</v>
      </c>
      <c r="B68" s="11" t="s">
        <v>124</v>
      </c>
      <c r="C68" s="11">
        <f>COUNTIF('Dados Limpos'!$K$2:$K$101,B68)</f>
        <v>1</v>
      </c>
      <c r="D68" s="16">
        <f>SUMIF('Dados Limpos'!$K$2:$K$101,B68,'Dados Limpos'!$F$2:$F$101)</f>
        <v>79500</v>
      </c>
      <c r="E68" s="16">
        <f t="shared" si="1"/>
        <v>79500</v>
      </c>
    </row>
    <row r="69" spans="1:5" ht="15" customHeight="1" x14ac:dyDescent="0.25">
      <c r="A69" s="8">
        <v>64</v>
      </c>
      <c r="B69" s="11" t="s">
        <v>318</v>
      </c>
      <c r="C69" s="11">
        <f>COUNTIF('Dados Limpos'!$K$2:$K$101,B69)</f>
        <v>1</v>
      </c>
      <c r="D69" s="16">
        <f>SUMIF('Dados Limpos'!$K$2:$K$101,B69,'Dados Limpos'!$F$2:$F$101)</f>
        <v>78400</v>
      </c>
      <c r="E69" s="16">
        <f t="shared" si="1"/>
        <v>78400</v>
      </c>
    </row>
    <row r="70" spans="1:5" ht="15" customHeight="1" x14ac:dyDescent="0.25">
      <c r="A70" s="8">
        <v>65</v>
      </c>
      <c r="B70" s="11" t="s">
        <v>216</v>
      </c>
      <c r="C70" s="11">
        <f>COUNTIF('Dados Limpos'!$K$2:$K$101,B70)</f>
        <v>1</v>
      </c>
      <c r="D70" s="16">
        <f>SUMIF('Dados Limpos'!$K$2:$K$101,B70,'Dados Limpos'!$F$2:$F$101)</f>
        <v>76800</v>
      </c>
      <c r="E70" s="16">
        <f t="shared" ref="E70:E101" si="2">IFERROR(D70/C70,0)</f>
        <v>76800</v>
      </c>
    </row>
    <row r="71" spans="1:5" ht="15" customHeight="1" x14ac:dyDescent="0.25">
      <c r="A71" s="8">
        <v>66</v>
      </c>
      <c r="B71" s="11" t="s">
        <v>156</v>
      </c>
      <c r="C71" s="11">
        <f>COUNTIF('Dados Limpos'!$K$2:$K$101,B71)</f>
        <v>1</v>
      </c>
      <c r="D71" s="16">
        <f>SUMIF('Dados Limpos'!$K$2:$K$101,B71,'Dados Limpos'!$F$2:$F$101)</f>
        <v>73500</v>
      </c>
      <c r="E71" s="16">
        <f t="shared" si="2"/>
        <v>73500</v>
      </c>
    </row>
    <row r="72" spans="1:5" ht="15" customHeight="1" x14ac:dyDescent="0.25">
      <c r="A72" s="8">
        <v>67</v>
      </c>
      <c r="B72" s="11" t="s">
        <v>137</v>
      </c>
      <c r="C72" s="11">
        <f>COUNTIF('Dados Limpos'!$K$2:$K$101,B72)</f>
        <v>1</v>
      </c>
      <c r="D72" s="16">
        <f>SUMIF('Dados Limpos'!$K$2:$K$101,B72,'Dados Limpos'!$F$2:$F$101)</f>
        <v>68900</v>
      </c>
      <c r="E72" s="16">
        <f t="shared" si="2"/>
        <v>68900</v>
      </c>
    </row>
    <row r="73" spans="1:5" ht="15" customHeight="1" x14ac:dyDescent="0.25">
      <c r="A73" s="8">
        <v>68</v>
      </c>
      <c r="B73" s="11" t="s">
        <v>245</v>
      </c>
      <c r="C73" s="11">
        <f>COUNTIF('Dados Limpos'!$K$2:$K$101,B73)</f>
        <v>1</v>
      </c>
      <c r="D73" s="16">
        <f>SUMIF('Dados Limpos'!$K$2:$K$101,B73,'Dados Limpos'!$F$2:$F$101)</f>
        <v>67500</v>
      </c>
      <c r="E73" s="16">
        <f t="shared" si="2"/>
        <v>67500</v>
      </c>
    </row>
    <row r="74" spans="1:5" ht="15" customHeight="1" x14ac:dyDescent="0.25">
      <c r="A74" s="8">
        <v>69</v>
      </c>
      <c r="B74" s="11" t="s">
        <v>333</v>
      </c>
      <c r="C74" s="11">
        <f>COUNTIF('Dados Limpos'!$K$2:$K$101,B74)</f>
        <v>1</v>
      </c>
      <c r="D74" s="16">
        <f>SUMIF('Dados Limpos'!$K$2:$K$101,B74,'Dados Limpos'!$F$2:$F$101)</f>
        <v>66750</v>
      </c>
      <c r="E74" s="16">
        <f t="shared" si="2"/>
        <v>66750</v>
      </c>
    </row>
    <row r="75" spans="1:5" ht="15" customHeight="1" x14ac:dyDescent="0.25">
      <c r="A75" s="8">
        <v>70</v>
      </c>
      <c r="B75" s="11" t="s">
        <v>356</v>
      </c>
      <c r="C75" s="11">
        <f>COUNTIF('Dados Limpos'!$K$2:$K$101,B75)</f>
        <v>1</v>
      </c>
      <c r="D75" s="16">
        <f>SUMIF('Dados Limpos'!$K$2:$K$101,B75,'Dados Limpos'!$F$2:$F$101)</f>
        <v>59000</v>
      </c>
      <c r="E75" s="16">
        <f t="shared" si="2"/>
        <v>59000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47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4" customWidth="1"/>
    <col min="3" max="3" width="26" customWidth="1"/>
    <col min="4" max="4" width="22" customWidth="1"/>
    <col min="5" max="5" width="20" customWidth="1"/>
    <col min="6" max="6" width="45" customWidth="1"/>
  </cols>
  <sheetData>
    <row r="2" spans="2:6" ht="17.25" customHeight="1" x14ac:dyDescent="0.25">
      <c r="B2" s="14" t="s">
        <v>446</v>
      </c>
    </row>
    <row r="3" spans="2:6" ht="15" customHeight="1" x14ac:dyDescent="0.25">
      <c r="B3" s="5" t="s">
        <v>447</v>
      </c>
    </row>
    <row r="5" spans="2:6" ht="15" customHeight="1" x14ac:dyDescent="0.25">
      <c r="B5" s="17" t="s">
        <v>448</v>
      </c>
    </row>
    <row r="6" spans="2:6" ht="15" customHeight="1" x14ac:dyDescent="0.25">
      <c r="B6" s="8" t="s">
        <v>449</v>
      </c>
      <c r="D6" s="6">
        <v>100</v>
      </c>
    </row>
    <row r="7" spans="2:6" ht="15" customHeight="1" x14ac:dyDescent="0.25">
      <c r="B7" s="8" t="s">
        <v>450</v>
      </c>
      <c r="D7" s="6">
        <v>24</v>
      </c>
    </row>
    <row r="8" spans="2:6" ht="15" customHeight="1" x14ac:dyDescent="0.25">
      <c r="B8" s="8" t="s">
        <v>451</v>
      </c>
      <c r="D8" s="6">
        <v>7</v>
      </c>
    </row>
    <row r="9" spans="2:6" ht="15" customHeight="1" x14ac:dyDescent="0.25">
      <c r="B9" s="8" t="s">
        <v>452</v>
      </c>
      <c r="D9" s="6">
        <v>0</v>
      </c>
    </row>
    <row r="10" spans="2:6" ht="15" customHeight="1" x14ac:dyDescent="0.25">
      <c r="B10" s="8" t="s">
        <v>453</v>
      </c>
      <c r="D10" s="6">
        <v>0</v>
      </c>
    </row>
    <row r="12" spans="2:6" ht="15" customHeight="1" x14ac:dyDescent="0.25">
      <c r="B12" s="17" t="s">
        <v>454</v>
      </c>
    </row>
    <row r="13" spans="2:6" ht="15" customHeight="1" x14ac:dyDescent="0.25">
      <c r="B13" s="18" t="s">
        <v>108</v>
      </c>
      <c r="C13" s="18" t="s">
        <v>455</v>
      </c>
      <c r="D13" s="18" t="s">
        <v>110</v>
      </c>
      <c r="E13" s="18" t="s">
        <v>8</v>
      </c>
      <c r="F13" s="18" t="s">
        <v>456</v>
      </c>
    </row>
    <row r="14" spans="2:6" ht="15" customHeight="1" x14ac:dyDescent="0.25">
      <c r="B14" s="11">
        <v>6</v>
      </c>
      <c r="C14" s="11" t="s">
        <v>457</v>
      </c>
      <c r="D14" s="11" t="s">
        <v>122</v>
      </c>
      <c r="E14" s="11" t="s">
        <v>62</v>
      </c>
      <c r="F14" s="19" t="s">
        <v>458</v>
      </c>
    </row>
    <row r="15" spans="2:6" ht="15" customHeight="1" x14ac:dyDescent="0.25">
      <c r="B15" s="11">
        <v>9</v>
      </c>
      <c r="C15" s="11" t="s">
        <v>459</v>
      </c>
      <c r="D15" s="11" t="s">
        <v>135</v>
      </c>
      <c r="E15" s="11" t="s">
        <v>66</v>
      </c>
      <c r="F15" s="19" t="s">
        <v>458</v>
      </c>
    </row>
    <row r="16" spans="2:6" ht="15" customHeight="1" x14ac:dyDescent="0.25">
      <c r="B16" s="11">
        <v>13</v>
      </c>
      <c r="C16" s="11" t="s">
        <v>460</v>
      </c>
      <c r="D16" s="11" t="s">
        <v>150</v>
      </c>
      <c r="E16" s="11" t="s">
        <v>30</v>
      </c>
      <c r="F16" s="19" t="s">
        <v>458</v>
      </c>
    </row>
    <row r="17" spans="2:6" ht="15" customHeight="1" x14ac:dyDescent="0.25">
      <c r="B17" s="11">
        <v>17</v>
      </c>
      <c r="C17" s="11" t="s">
        <v>461</v>
      </c>
      <c r="D17" s="11" t="s">
        <v>165</v>
      </c>
      <c r="E17" s="11" t="s">
        <v>16</v>
      </c>
      <c r="F17" s="19" t="s">
        <v>458</v>
      </c>
    </row>
    <row r="18" spans="2:6" ht="15" customHeight="1" x14ac:dyDescent="0.25">
      <c r="B18" s="11">
        <v>22</v>
      </c>
      <c r="C18" s="11" t="s">
        <v>462</v>
      </c>
      <c r="D18" s="11" t="s">
        <v>184</v>
      </c>
      <c r="E18" s="11" t="s">
        <v>35</v>
      </c>
      <c r="F18" s="19" t="s">
        <v>458</v>
      </c>
    </row>
    <row r="19" spans="2:6" ht="15" customHeight="1" x14ac:dyDescent="0.25">
      <c r="B19" s="11">
        <v>24</v>
      </c>
      <c r="C19" s="11" t="s">
        <v>463</v>
      </c>
      <c r="D19" s="11" t="s">
        <v>191</v>
      </c>
      <c r="E19" s="11" t="s">
        <v>43</v>
      </c>
      <c r="F19" s="19" t="s">
        <v>458</v>
      </c>
    </row>
    <row r="20" spans="2:6" ht="15" customHeight="1" x14ac:dyDescent="0.25">
      <c r="B20" s="11">
        <v>28</v>
      </c>
      <c r="C20" s="11" t="s">
        <v>464</v>
      </c>
      <c r="D20" s="11" t="s">
        <v>206</v>
      </c>
      <c r="E20" s="11" t="s">
        <v>12</v>
      </c>
      <c r="F20" s="19" t="s">
        <v>458</v>
      </c>
    </row>
    <row r="21" spans="2:6" ht="15" customHeight="1" x14ac:dyDescent="0.25">
      <c r="B21" s="11">
        <v>31</v>
      </c>
      <c r="C21" s="11" t="s">
        <v>465</v>
      </c>
      <c r="D21" s="11" t="s">
        <v>217</v>
      </c>
      <c r="E21" s="11" t="s">
        <v>33</v>
      </c>
      <c r="F21" s="19" t="s">
        <v>458</v>
      </c>
    </row>
    <row r="22" spans="2:6" ht="15" customHeight="1" x14ac:dyDescent="0.25">
      <c r="B22" s="11">
        <v>36</v>
      </c>
      <c r="C22" s="11" t="s">
        <v>466</v>
      </c>
      <c r="D22" s="11" t="s">
        <v>235</v>
      </c>
      <c r="E22" s="11" t="s">
        <v>56</v>
      </c>
      <c r="F22" s="19" t="s">
        <v>458</v>
      </c>
    </row>
    <row r="23" spans="2:6" ht="15" customHeight="1" x14ac:dyDescent="0.25">
      <c r="B23" s="11">
        <v>43</v>
      </c>
      <c r="C23" s="11" t="s">
        <v>467</v>
      </c>
      <c r="D23" s="11" t="s">
        <v>262</v>
      </c>
      <c r="E23" s="11" t="s">
        <v>24</v>
      </c>
      <c r="F23" s="19" t="s">
        <v>458</v>
      </c>
    </row>
    <row r="24" spans="2:6" ht="15" customHeight="1" x14ac:dyDescent="0.25">
      <c r="B24" s="11">
        <v>44</v>
      </c>
      <c r="C24" s="11" t="s">
        <v>468</v>
      </c>
      <c r="D24" s="11" t="s">
        <v>265</v>
      </c>
      <c r="E24" s="11" t="s">
        <v>47</v>
      </c>
      <c r="F24" s="19" t="s">
        <v>458</v>
      </c>
    </row>
    <row r="25" spans="2:6" ht="15" customHeight="1" x14ac:dyDescent="0.25">
      <c r="B25" s="11">
        <v>47</v>
      </c>
      <c r="C25" s="11" t="s">
        <v>469</v>
      </c>
      <c r="D25" s="11" t="s">
        <v>276</v>
      </c>
      <c r="E25" s="11" t="s">
        <v>45</v>
      </c>
      <c r="F25" s="19" t="s">
        <v>458</v>
      </c>
    </row>
    <row r="26" spans="2:6" ht="15" customHeight="1" x14ac:dyDescent="0.25">
      <c r="B26" s="11">
        <v>52</v>
      </c>
      <c r="C26" s="11" t="s">
        <v>470</v>
      </c>
      <c r="D26" s="11" t="s">
        <v>294</v>
      </c>
      <c r="E26" s="11" t="s">
        <v>49</v>
      </c>
      <c r="F26" s="19" t="s">
        <v>458</v>
      </c>
    </row>
    <row r="27" spans="2:6" ht="15" customHeight="1" x14ac:dyDescent="0.25">
      <c r="B27" s="11">
        <v>57</v>
      </c>
      <c r="C27" s="11" t="s">
        <v>471</v>
      </c>
      <c r="D27" s="11" t="s">
        <v>313</v>
      </c>
      <c r="E27" s="11" t="s">
        <v>28</v>
      </c>
      <c r="F27" s="19" t="s">
        <v>458</v>
      </c>
    </row>
    <row r="28" spans="2:6" ht="15" customHeight="1" x14ac:dyDescent="0.25">
      <c r="B28" s="11">
        <v>59</v>
      </c>
      <c r="C28" s="11" t="s">
        <v>472</v>
      </c>
      <c r="D28" s="11" t="s">
        <v>319</v>
      </c>
      <c r="E28" s="11" t="s">
        <v>35</v>
      </c>
      <c r="F28" s="19" t="s">
        <v>458</v>
      </c>
    </row>
    <row r="29" spans="2:6" ht="15" customHeight="1" x14ac:dyDescent="0.25">
      <c r="B29" s="11">
        <v>67</v>
      </c>
      <c r="C29" s="11" t="s">
        <v>473</v>
      </c>
      <c r="D29" s="11" t="s">
        <v>350</v>
      </c>
      <c r="E29" s="11" t="s">
        <v>64</v>
      </c>
      <c r="F29" s="19" t="s">
        <v>458</v>
      </c>
    </row>
    <row r="30" spans="2:6" ht="15" customHeight="1" x14ac:dyDescent="0.25">
      <c r="B30" s="11">
        <v>70</v>
      </c>
      <c r="C30" s="11" t="s">
        <v>474</v>
      </c>
      <c r="D30" s="11" t="s">
        <v>361</v>
      </c>
      <c r="E30" s="11" t="s">
        <v>43</v>
      </c>
      <c r="F30" s="19" t="s">
        <v>458</v>
      </c>
    </row>
    <row r="31" spans="2:6" ht="15" customHeight="1" x14ac:dyDescent="0.25">
      <c r="B31" s="11">
        <v>81</v>
      </c>
      <c r="C31" s="11" t="s">
        <v>475</v>
      </c>
      <c r="D31" s="11" t="s">
        <v>395</v>
      </c>
      <c r="E31" s="11" t="s">
        <v>24</v>
      </c>
      <c r="F31" s="19" t="s">
        <v>458</v>
      </c>
    </row>
    <row r="32" spans="2:6" ht="15" customHeight="1" x14ac:dyDescent="0.25">
      <c r="B32" s="11">
        <v>84</v>
      </c>
      <c r="C32" s="11" t="s">
        <v>476</v>
      </c>
      <c r="D32" s="11" t="s">
        <v>403</v>
      </c>
      <c r="E32" s="11" t="s">
        <v>41</v>
      </c>
      <c r="F32" s="19" t="s">
        <v>458</v>
      </c>
    </row>
    <row r="33" spans="2:6" ht="15" customHeight="1" x14ac:dyDescent="0.25">
      <c r="B33" s="11">
        <v>89</v>
      </c>
      <c r="C33" s="11" t="s">
        <v>477</v>
      </c>
      <c r="D33" s="11" t="s">
        <v>416</v>
      </c>
      <c r="E33" s="11" t="s">
        <v>20</v>
      </c>
      <c r="F33" s="19" t="s">
        <v>458</v>
      </c>
    </row>
    <row r="34" spans="2:6" ht="15" customHeight="1" x14ac:dyDescent="0.25">
      <c r="B34" s="11">
        <v>93</v>
      </c>
      <c r="C34" s="11" t="s">
        <v>478</v>
      </c>
      <c r="D34" s="11" t="s">
        <v>425</v>
      </c>
      <c r="E34" s="11" t="s">
        <v>24</v>
      </c>
      <c r="F34" s="19" t="s">
        <v>458</v>
      </c>
    </row>
    <row r="35" spans="2:6" ht="15" customHeight="1" x14ac:dyDescent="0.25">
      <c r="B35" s="11">
        <v>94</v>
      </c>
      <c r="C35" s="11" t="s">
        <v>479</v>
      </c>
      <c r="D35" s="11" t="s">
        <v>426</v>
      </c>
      <c r="E35" s="11" t="s">
        <v>31</v>
      </c>
      <c r="F35" s="19" t="s">
        <v>458</v>
      </c>
    </row>
    <row r="36" spans="2:6" ht="15" customHeight="1" x14ac:dyDescent="0.25">
      <c r="B36" s="11">
        <v>97</v>
      </c>
      <c r="C36" s="11" t="s">
        <v>480</v>
      </c>
      <c r="D36" s="11" t="s">
        <v>432</v>
      </c>
      <c r="E36" s="11" t="s">
        <v>16</v>
      </c>
      <c r="F36" s="19" t="s">
        <v>458</v>
      </c>
    </row>
    <row r="37" spans="2:6" ht="15" customHeight="1" x14ac:dyDescent="0.25">
      <c r="B37" s="11">
        <v>102</v>
      </c>
      <c r="C37" s="11" t="s">
        <v>481</v>
      </c>
      <c r="D37" s="11" t="s">
        <v>294</v>
      </c>
      <c r="E37" s="11" t="s">
        <v>49</v>
      </c>
      <c r="F37" s="19" t="s">
        <v>458</v>
      </c>
    </row>
    <row r="39" spans="2:6" ht="15" customHeight="1" x14ac:dyDescent="0.25">
      <c r="B39" s="17" t="s">
        <v>482</v>
      </c>
    </row>
    <row r="40" spans="2:6" ht="15" customHeight="1" x14ac:dyDescent="0.25">
      <c r="B40" s="18" t="s">
        <v>108</v>
      </c>
      <c r="C40" s="18" t="s">
        <v>483</v>
      </c>
      <c r="D40" s="18" t="s">
        <v>484</v>
      </c>
      <c r="E40" s="18" t="s">
        <v>485</v>
      </c>
    </row>
    <row r="41" spans="2:6" ht="15" customHeight="1" x14ac:dyDescent="0.25">
      <c r="B41" s="11">
        <v>6</v>
      </c>
      <c r="C41" s="11" t="s">
        <v>122</v>
      </c>
      <c r="D41" s="11" t="s">
        <v>486</v>
      </c>
      <c r="E41" s="19" t="s">
        <v>487</v>
      </c>
    </row>
    <row r="42" spans="2:6" ht="15" customHeight="1" x14ac:dyDescent="0.25">
      <c r="B42" s="11">
        <v>8</v>
      </c>
      <c r="C42" s="11" t="s">
        <v>488</v>
      </c>
      <c r="D42" s="11" t="s">
        <v>134</v>
      </c>
      <c r="E42" s="19" t="s">
        <v>489</v>
      </c>
    </row>
    <row r="43" spans="2:6" ht="15" customHeight="1" x14ac:dyDescent="0.25">
      <c r="B43" s="11">
        <v>9</v>
      </c>
      <c r="C43" s="11" t="s">
        <v>135</v>
      </c>
      <c r="D43" s="11" t="s">
        <v>490</v>
      </c>
      <c r="E43" s="19" t="s">
        <v>487</v>
      </c>
    </row>
    <row r="44" spans="2:6" ht="15" customHeight="1" x14ac:dyDescent="0.25">
      <c r="B44" s="11">
        <v>36</v>
      </c>
      <c r="C44" s="11" t="s">
        <v>235</v>
      </c>
      <c r="D44" s="11" t="s">
        <v>491</v>
      </c>
      <c r="E44" s="19" t="s">
        <v>487</v>
      </c>
    </row>
    <row r="45" spans="2:6" ht="15" customHeight="1" x14ac:dyDescent="0.25">
      <c r="B45" s="11">
        <v>38</v>
      </c>
      <c r="C45" s="11" t="s">
        <v>492</v>
      </c>
      <c r="D45" s="11" t="s">
        <v>245</v>
      </c>
      <c r="E45" s="19" t="s">
        <v>489</v>
      </c>
    </row>
    <row r="46" spans="2:6" ht="15" customHeight="1" x14ac:dyDescent="0.25">
      <c r="B46" s="11">
        <v>42</v>
      </c>
      <c r="C46" s="11" t="s">
        <v>259</v>
      </c>
      <c r="D46" s="11" t="s">
        <v>493</v>
      </c>
      <c r="E46" s="19" t="s">
        <v>487</v>
      </c>
    </row>
    <row r="47" spans="2:6" ht="15" customHeight="1" x14ac:dyDescent="0.25">
      <c r="B47" s="11">
        <v>88</v>
      </c>
      <c r="C47" s="11" t="s">
        <v>494</v>
      </c>
      <c r="D47" s="11" t="s">
        <v>134</v>
      </c>
      <c r="E47" s="19" t="s">
        <v>489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Dados Limpos</vt:lpstr>
      <vt:lpstr>Vendedores</vt:lpstr>
      <vt:lpstr>Qualidade dos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helio silveira</cp:lastModifiedBy>
  <cp:revision>2</cp:revision>
  <dcterms:created xsi:type="dcterms:W3CDTF">2026-08-16T18:24:47Z</dcterms:created>
  <dcterms:modified xsi:type="dcterms:W3CDTF">2026-08-16T18:29:23Z</dcterms:modified>
  <dc:language>en-US</dc:language>
</cp:coreProperties>
</file>